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theme/theme1.xml" ContentType="application/vnd.openxmlformats-officedocument.theme+xml"/>
  <Override PartName="/xl/drawings/drawing1.xml" ContentType="application/vnd.openxmlformats-officedocument.drawing+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chematic checklist" sheetId="1" state="visible" r:id="rId1"/>
    <sheet name="Layout checklist" sheetId="2" state="visible" r:id="rId2"/>
    <sheet name="General guidelines" sheetId="3" state="visible" r:id="rId3"/>
    <sheet name="Revision history" sheetId="4" state="visible" r:id="rId4"/>
  </sheets>
  <definedNames>
    <definedName name="_xlnm._FilterDatabase" localSheetId="0" hidden="1">'Schematic checklist'!$A$3:$J$36</definedName>
    <definedName name="_xlnm.Print_Area" localSheetId="0">'Schematic checklist'!$A$3:$H$36</definedName>
    <definedName name="_xlnm._FilterDatabase" localSheetId="1" hidden="1">'Layout checklist'!$A$3:$F$36</definedName>
    <definedName name="_xlnm.Print_Area" localSheetId="1">'Layout checklist'!$A$3:$D$36</definedName>
    <definedName name="_xlnm._FilterDatabase" localSheetId="2" hidden="1">'General guidelines'!$A$3:$D$15</definedName>
    <definedName name="_xlnm._FilterDatabase" localSheetId="0" hidden="1">'Schematic checklist'!$A$3:$J$36</definedName>
    <definedName name="_xlnm._FilterDatabase" localSheetId="1" hidden="1">'Layout checklist'!$A$3:$F$36</definedName>
    <definedName name="_xlnm._FilterDatabase" localSheetId="2" hidden="1">'General guidelines'!$A$3:$D$15</definedName>
  </definedNames>
  <calcPr/>
  <extLst>
    <ext xmlns:x15="http://schemas.microsoft.com/office/spreadsheetml/2010/11/main" uri="{D0CA8CA8-9F24-4464-BF8E-62219DCF47F9}"/>
  </extLst>
</workbook>
</file>

<file path=xl/sharedStrings.xml><?xml version="1.0" encoding="utf-8"?>
<sst xmlns="http://schemas.openxmlformats.org/spreadsheetml/2006/main" count="212" uniqueCount="212">
  <si>
    <t xml:space="preserve">nPM1300 Schematic Checklist</t>
  </si>
  <si>
    <t>Date:</t>
  </si>
  <si>
    <t>11.12.2025</t>
  </si>
  <si>
    <t>OK</t>
  </si>
  <si>
    <t>NOK</t>
  </si>
  <si>
    <t xml:space="preserve">Pin QFN</t>
  </si>
  <si>
    <t xml:space="preserve">Pin CSP</t>
  </si>
  <si>
    <t xml:space="preserve">Pin Name</t>
  </si>
  <si>
    <t>Direction</t>
  </si>
  <si>
    <t>Type</t>
  </si>
  <si>
    <t xml:space="preserve">OpMax [V]</t>
  </si>
  <si>
    <t xml:space="preserve">AbsMax [V]</t>
  </si>
  <si>
    <t>Function</t>
  </si>
  <si>
    <t>Connection</t>
  </si>
  <si>
    <t xml:space="preserve">Component spec</t>
  </si>
  <si>
    <t>Reviewed</t>
  </si>
  <si>
    <t xml:space="preserve">Review Notes</t>
  </si>
  <si>
    <t>B6</t>
  </si>
  <si>
    <t>VOUT1</t>
  </si>
  <si>
    <t>Input</t>
  </si>
  <si>
    <t>Analog</t>
  </si>
  <si>
    <t xml:space="preserve">Buck1 output voltage feedback</t>
  </si>
  <si>
    <t xml:space="preserve">Connect to Buck1 output capacitor. Connect to PVDD if not used for biasing it to known level and avoiding leakage.</t>
  </si>
  <si>
    <t xml:space="preserve">Capacitance 10uF nominal
Min 4uF effective
Max 20uF effective
Voltage rating 6.3V or higher
Increasing capacitance has effect on the startup time and VSYS drop during startup. If both bucks are used they start at the same time and loading to the VSYS rail need to be considered (100mA default current limit).</t>
  </si>
  <si>
    <t xml:space="preserve">Check DC bias effect of the capacitor</t>
  </si>
  <si>
    <t>A7</t>
  </si>
  <si>
    <t>PVSS1</t>
  </si>
  <si>
    <t>Ground</t>
  </si>
  <si>
    <t xml:space="preserve">Buck1 power stage ground</t>
  </si>
  <si>
    <t xml:space="preserve">Connect to GND</t>
  </si>
  <si>
    <t>B7</t>
  </si>
  <si>
    <t>SW1</t>
  </si>
  <si>
    <t>Output</t>
  </si>
  <si>
    <t>Power</t>
  </si>
  <si>
    <t xml:space="preserve">Buck1 switch output to inductor</t>
  </si>
  <si>
    <t xml:space="preserve">Connect to output inductor. Leave floating if not used</t>
  </si>
  <si>
    <t>rr</t>
  </si>
  <si>
    <t>C7</t>
  </si>
  <si>
    <t>PVDD</t>
  </si>
  <si>
    <t xml:space="preserve">Power input for both buck converters</t>
  </si>
  <si>
    <t xml:space="preserve">Connect to VSYS. Must have input capacitor for each used buck. Capacitors must be grounded to PVSS1/PVSS2 accordingly</t>
  </si>
  <si>
    <t xml:space="preserve">Capacitance 10uF nominal per buck in use
Min 4uF effective
Voltage rating 6.3V or higher
Consider adding smaller high frequency bypass capacitor for each buck input (10nF or 100nF) for EMI reduction</t>
  </si>
  <si>
    <t>D7</t>
  </si>
  <si>
    <t>SW2</t>
  </si>
  <si>
    <t xml:space="preserve">Buck2 switch output to inductor</t>
  </si>
  <si>
    <t xml:space="preserve">Inductance 2.2uH (+/-20%)
ISAT &gt;350mA
ITEMP &gt;200mA
DCR &lt; 400mohm</t>
  </si>
  <si>
    <t>E7</t>
  </si>
  <si>
    <t>PVSS2</t>
  </si>
  <si>
    <t xml:space="preserve">Buck2 power stage ground</t>
  </si>
  <si>
    <t>D6</t>
  </si>
  <si>
    <t>GPIO0</t>
  </si>
  <si>
    <t>Input/output</t>
  </si>
  <si>
    <t>Digital</t>
  </si>
  <si>
    <t xml:space="preserve">VDDIO + 0.3</t>
  </si>
  <si>
    <t xml:space="preserve">General purpose IO</t>
  </si>
  <si>
    <t xml:space="preserve">User defined. Can be left floating if not used</t>
  </si>
  <si>
    <t>E6</t>
  </si>
  <si>
    <t>GPIO1</t>
  </si>
  <si>
    <t>C5</t>
  </si>
  <si>
    <t>GPIO2</t>
  </si>
  <si>
    <t>C4</t>
  </si>
  <si>
    <t>GPIO3</t>
  </si>
  <si>
    <t>B5</t>
  </si>
  <si>
    <t>GPIO4</t>
  </si>
  <si>
    <t>E4</t>
  </si>
  <si>
    <t>VDDIO</t>
  </si>
  <si>
    <t>VSYS</t>
  </si>
  <si>
    <t xml:space="preserve">IO reference voltage supply</t>
  </si>
  <si>
    <t xml:space="preserve">Should be connected to desired IO voltage level used for TWI bus</t>
  </si>
  <si>
    <t xml:space="preserve">Capacitance 100nF nominal
Voltage rating 6.3V or higher</t>
  </si>
  <si>
    <t>E5</t>
  </si>
  <si>
    <t>SDA</t>
  </si>
  <si>
    <t xml:space="preserve">TWI Data line</t>
  </si>
  <si>
    <t xml:space="preserve">Pull-up resistor to VDDIO. Connect to GND or VDDIO if not used</t>
  </si>
  <si>
    <t xml:space="preserve">Resistor value depends on the bus capacitance and TWI clock frequency</t>
  </si>
  <si>
    <t>E3</t>
  </si>
  <si>
    <t>SCL</t>
  </si>
  <si>
    <t xml:space="preserve">TWI Clock line</t>
  </si>
  <si>
    <t>D4</t>
  </si>
  <si>
    <t>SHPHLD</t>
  </si>
  <si>
    <t xml:space="preserve">Ship hold mode control</t>
  </si>
  <si>
    <t xml:space="preserve">Typically push button to GND to allow exiting Ship mode. Can be left floating if not used. There is internal 50kohm pull-up to VBAT. Don't connect to SoC GPIO or similar directly configured as push-pull output. It will can form a leakage path through the internal pull-up resistor. Ok to connect to Open Drain output. </t>
  </si>
  <si>
    <t>E1</t>
  </si>
  <si>
    <t>VSET2</t>
  </si>
  <si>
    <t xml:space="preserve">Set resistor for default Buck2 output voltage</t>
  </si>
  <si>
    <t xml:space="preserve">Connect to RVSET2. Connect to GND for disabling Buck2 by default. 
Note: even if buck is disabled by default it can be enabled with TWI.</t>
  </si>
  <si>
    <t>E2</t>
  </si>
  <si>
    <t>VSET1</t>
  </si>
  <si>
    <t xml:space="preserve">Set resistor for default Buck1 output voltage</t>
  </si>
  <si>
    <t xml:space="preserve">Connect to RVSET1. Connect to GND for disabling Buck1 by default. 
Note: even if buck is disabled by default it can be enabled with TWI.</t>
  </si>
  <si>
    <t>D3</t>
  </si>
  <si>
    <t>NTC</t>
  </si>
  <si>
    <t xml:space="preserve">Battery NTC thermistor input</t>
  </si>
  <si>
    <t xml:space="preserve">Connect to battery NTC.
If battery pack does not have NTC connect this pin directly or through a resistor to GND. Functionality must be disabled with TWI write. </t>
  </si>
  <si>
    <t xml:space="preserve">Parallel capacitance max 100pF</t>
  </si>
  <si>
    <t xml:space="preserve">Check battery datasheet for parallel capacitance on the NTC</t>
  </si>
  <si>
    <t>D1,D2</t>
  </si>
  <si>
    <t>VBAT</t>
  </si>
  <si>
    <t xml:space="preserve">Battery input</t>
  </si>
  <si>
    <t xml:space="preserve">Connect to bypass capacitor and battery</t>
  </si>
  <si>
    <t xml:space="preserve">Capacitance 2.2uF nominal recommended
Voltage rating 6.3V or higher</t>
  </si>
  <si>
    <t>C1/C2</t>
  </si>
  <si>
    <t xml:space="preserve">System regulator output</t>
  </si>
  <si>
    <t xml:space="preserve">Connect to PVDD and to VSYS capacitor</t>
  </si>
  <si>
    <t xml:space="preserve">Capacitance 10uF nominal
4uF effective minimum
Voltage rating 6.3V or higher
in addition to the buck input capacitors placed on PVDD
Consider adding smaller high frequency bypass capacitor (10nF or 100nF) for EMI reduction</t>
  </si>
  <si>
    <t xml:space="preserve">B1, B2</t>
  </si>
  <si>
    <t>VBUS</t>
  </si>
  <si>
    <t xml:space="preserve">USB supply</t>
  </si>
  <si>
    <t xml:space="preserve">Connect to USB VBUS and VBUSIN capacitor</t>
  </si>
  <si>
    <t xml:space="preserve">Capacitance 1uF nominal
See USB specification for max capacitance limitations.
Check carefully the voltage rating of the capacitor for the use case. Voltage rating of the VBUS pin is 22V and if up to 22V voltage transients are expected the capacitor should be selected accordingly.</t>
  </si>
  <si>
    <t>C3</t>
  </si>
  <si>
    <t>VBUSOUT</t>
  </si>
  <si>
    <t xml:space="preserve">Connect to nRF device VBUS. Must have decoupling capacitor even if not used. VBUSOUT is only for host sensing and should not be used as a supply</t>
  </si>
  <si>
    <t xml:space="preserve">Capacitance 1uF nominal
Voltage rating 6.3V or higher</t>
  </si>
  <si>
    <t>D5</t>
  </si>
  <si>
    <t>CC1</t>
  </si>
  <si>
    <t xml:space="preserve">USB-C Configuration Channel 1</t>
  </si>
  <si>
    <t xml:space="preserve">Connect to USB-C connector CC1. Leave floating if USB-C is not used, or connect to GND. Internal 5.1kohm resistor</t>
  </si>
  <si>
    <t>B3</t>
  </si>
  <si>
    <t>CC2</t>
  </si>
  <si>
    <t xml:space="preserve">USB-C Configuration Channel 2</t>
  </si>
  <si>
    <t xml:space="preserve">Connect to USB-C connector CC2. Leave floating if USB-C is not used, or connect to GND. Internal 5.1kohm resistor</t>
  </si>
  <si>
    <t>A1</t>
  </si>
  <si>
    <t>LED0</t>
  </si>
  <si>
    <t xml:space="preserve">Led driver 0 output, 5mA constant current sink</t>
  </si>
  <si>
    <t xml:space="preserve">Connect to LED cathode. Leave floating if not used</t>
  </si>
  <si>
    <t>A2</t>
  </si>
  <si>
    <t>LED1</t>
  </si>
  <si>
    <t xml:space="preserve">Led driver 1 output, 5mA constant current sink</t>
  </si>
  <si>
    <t>A3</t>
  </si>
  <si>
    <t>LED2</t>
  </si>
  <si>
    <t xml:space="preserve">Led driver 2 output, 5mA constant current sink</t>
  </si>
  <si>
    <t>B4</t>
  </si>
  <si>
    <t>LSIN1/VINLDO1</t>
  </si>
  <si>
    <t xml:space="preserve">Load switch/LDO1 input</t>
  </si>
  <si>
    <t xml:space="preserve">Connect to supply for load switch/LDO1. Connect to GND if not used</t>
  </si>
  <si>
    <t xml:space="preserve">Input capacitance depends on what supplies the load switch/LDO. If connected to buck output or VSYS, typically no additional capacitance needed.
Minimum input voltage in LDO mode is 2.6V. </t>
  </si>
  <si>
    <t>A4</t>
  </si>
  <si>
    <t>LSOUT1/VOUTLDO1</t>
  </si>
  <si>
    <t xml:space="preserve">Load switch/LDO1 output</t>
  </si>
  <si>
    <t xml:space="preserve">Connect to output capacitor. Connect to GND if not used</t>
  </si>
  <si>
    <r>
      <rPr>
        <b/>
        <sz val="11"/>
        <color theme="1"/>
        <rFont val="Calibri"/>
        <scheme val="minor"/>
      </rPr>
      <t xml:space="preserve">LDO Operation:</t>
    </r>
    <r>
      <rPr>
        <sz val="11"/>
        <color theme="1"/>
        <rFont val="Calibri"/>
        <scheme val="minor"/>
      </rPr>
      <t xml:space="preserve">
Capacitance 2x10uF nominal
6uF effective minimum
Voltage rating 6.3V or higher 
</t>
    </r>
    <r>
      <rPr>
        <b/>
        <sz val="11"/>
        <color theme="1"/>
        <rFont val="Calibri"/>
        <scheme val="minor"/>
      </rPr>
      <t xml:space="preserve">LS operation:</t>
    </r>
    <r>
      <rPr>
        <sz val="11"/>
        <color theme="1"/>
        <rFont val="Calibri"/>
        <scheme val="minor"/>
      </rPr>
      <t xml:space="preserve">
Capacitance 1uF nominal
Voltage rating 6.3V or higher </t>
    </r>
  </si>
  <si>
    <t>LSIN2/VINLDO2</t>
  </si>
  <si>
    <t xml:space="preserve">Load switch/LDO2 input</t>
  </si>
  <si>
    <t xml:space="preserve">Connect to supply for load switch/LDO2. Connect to GND if not used</t>
  </si>
  <si>
    <t>A5</t>
  </si>
  <si>
    <t>LSOUT2/VOUTLDO2</t>
  </si>
  <si>
    <t xml:space="preserve">Load switch/LDO2 output</t>
  </si>
  <si>
    <t>C6</t>
  </si>
  <si>
    <t>VOUT2</t>
  </si>
  <si>
    <t xml:space="preserve">Buck2 output voltage feedback</t>
  </si>
  <si>
    <t xml:space="preserve">Connect to Buck2 output capacitor. Connect to PVDD if not used for biasing it to known level and avoiding leakage.</t>
  </si>
  <si>
    <t>DAP</t>
  </si>
  <si>
    <t>A6</t>
  </si>
  <si>
    <t>AVSS</t>
  </si>
  <si>
    <t xml:space="preserve">Analog/Digital ground</t>
  </si>
  <si>
    <t xml:space="preserve">Connect to GND plane</t>
  </si>
  <si>
    <t xml:space="preserve">nPM1300 Layout Checklist</t>
  </si>
  <si>
    <t xml:space="preserve">Layout advice</t>
  </si>
  <si>
    <t xml:space="preserve">Max current</t>
  </si>
  <si>
    <t xml:space="preserve">Route directly to the Buck1 output capacitor on layer 3 for example. Place output capacitor close to the PMIC with the GND connected to the same copped area as the PVSS1.</t>
  </si>
  <si>
    <t xml:space="preserve">VOUT1 pin is high impedance. Traces from the output capacitor to the load must be rated based on the load</t>
  </si>
  <si>
    <t xml:space="preserve">On top layer have a copper area for connecting buck input and output capacitor grounds together with PVSS1. Connect strongly to GND plane with preferably multiple vias</t>
  </si>
  <si>
    <t xml:space="preserve">300mA peak max</t>
  </si>
  <si>
    <t xml:space="preserve">Keep trace short and make sure current capability is enough for SW current. Route either between input capacitor pads or alternatively on 6-layer board layer 3 can be used for routing.</t>
  </si>
  <si>
    <t xml:space="preserve">Place input capacitors close to the pins, grounding close to PVSSx pins to keep the current loop small. Route to VSYS in layer 3 for example. Use multiple vias for changing the layer</t>
  </si>
  <si>
    <t xml:space="preserve">300mA + 300mA peak max if both bucks are in use</t>
  </si>
  <si>
    <t xml:space="preserve">On top layer have a copper area for connecting buck input and output capacitor grounds together with PVSS2. Connect strongly to GND plane with preferably multiple vias</t>
  </si>
  <si>
    <t>-</t>
  </si>
  <si>
    <t xml:space="preserve">Place bypass capacitor close to the VDDIO pin</t>
  </si>
  <si>
    <t xml:space="preserve">Avoid routing TWI bus close to sensitive components/traces</t>
  </si>
  <si>
    <t xml:space="preserve">High impedance</t>
  </si>
  <si>
    <t xml:space="preserve">Place bypass capacitor close to the VBAT pin. Use wide traces to the battery. Avoid long traces on top layer, consider burying the traces to mid layers with GND on both sides if long routing is needed.</t>
  </si>
  <si>
    <t xml:space="preserve">Maximum expected discharge current</t>
  </si>
  <si>
    <t xml:space="preserve">Place VSYS capacitors close to the VSYS pin. Use multiple vias for routing to PVDD.  Avoid long traces on top layer, consider burying the traces to mid layers with GND on both sides if long routing is needed.</t>
  </si>
  <si>
    <t xml:space="preserve">Up to 1500mA</t>
  </si>
  <si>
    <t xml:space="preserve">Place VBUSIN capacitor close to the VBUS pin. Use wide traces to USB connector. Avoid long traces on top layer, consider burying the VBUS line to mid layers if long routing needed.</t>
  </si>
  <si>
    <t xml:space="preserve">Place decoupling capacitor close to the pin</t>
  </si>
  <si>
    <t xml:space="preserve">RVBUSOUT of 7.5ohm limits the current. Not intended for high loads, but for SoC host sensing.</t>
  </si>
  <si>
    <t>5mA</t>
  </si>
  <si>
    <t xml:space="preserve">Route to the selected supply with short and wide traces</t>
  </si>
  <si>
    <t xml:space="preserve">Up to 100mA</t>
  </si>
  <si>
    <t xml:space="preserve">Place output capacitor close to the pin</t>
  </si>
  <si>
    <t xml:space="preserve">Route directly to the Buck2 output capacitor on layer 3 for example. Place output capacitor close to the PMIC with the GND connected to the same copped area as the PVSS2.</t>
  </si>
  <si>
    <t xml:space="preserve">VOUT2 pin is high impedance. Traces from the output capacitor to the load must be rated based on the load</t>
  </si>
  <si>
    <t xml:space="preserve">Connect to GND plane directly with via(s). With QFN use multiple vias for improving thermal dissipation.</t>
  </si>
  <si>
    <t>Category</t>
  </si>
  <si>
    <t>Item</t>
  </si>
  <si>
    <t xml:space="preserve">Board stackup</t>
  </si>
  <si>
    <t xml:space="preserve">GND plane under the nPM1300 with sufficient current-carrying vias near connectors and voltage return points (capacitor GNDs etc)</t>
  </si>
  <si>
    <t xml:space="preserve">Layer under the nPM1300 is not used for routing. With CSP package the second layer is used only for short escape routing for the inner pads</t>
  </si>
  <si>
    <t xml:space="preserve">Board stackup </t>
  </si>
  <si>
    <t xml:space="preserve">Long high current and possibly noisy traces are buried on inner layers and have GND layers on both sides</t>
  </si>
  <si>
    <t xml:space="preserve">Stackup and dielectric considered for the controlled impedance routing (HS USB etc.)</t>
  </si>
  <si>
    <t xml:space="preserve">Component placement</t>
  </si>
  <si>
    <t xml:space="preserve">Ensure that no sensitive nets run under noisy components (buck converters)</t>
  </si>
  <si>
    <t>Manufacturability</t>
  </si>
  <si>
    <t xml:space="preserve">With CSP package the microvias and aspect ratio for laser cut vias considered</t>
  </si>
  <si>
    <t xml:space="preserve">Physical constraints</t>
  </si>
  <si>
    <t xml:space="preserve">Component max assembled height considered for the end application</t>
  </si>
  <si>
    <t xml:space="preserve">Power routing</t>
  </si>
  <si>
    <t xml:space="preserve">Voltage planes have sufficient connecting vias for current requirement</t>
  </si>
  <si>
    <t xml:space="preserve">Check that all ground pins have a via to the ground plane</t>
  </si>
  <si>
    <t xml:space="preserve">Check that the vias for decoupling capacitors are not shared. Each decoupling capacitor requires its own via for the supply and GND directly to the reference plane</t>
  </si>
  <si>
    <t xml:space="preserve">Check that any track carrying over 100mA has its width calculated to ensure it is sufficient for the current</t>
  </si>
  <si>
    <t>Thermal</t>
  </si>
  <si>
    <t xml:space="preserve">Check that nPM1300 center pad has strong connection to the GND plane with multiple vias for good thermal dissipation (QFN package)</t>
  </si>
  <si>
    <t>Revision</t>
  </si>
  <si>
    <t>Date</t>
  </si>
  <si>
    <t>Comment</t>
  </si>
  <si>
    <t>1.0.0</t>
  </si>
  <si>
    <t xml:space="preserve">First version</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</si>
</sst>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0.0"/>
  </numFmts>
  <fonts count="8">
    <font>
      <sz val="11.000000"/>
      <color theme="1"/>
      <name val="Calibri"/>
      <scheme val="minor"/>
    </font>
    <font>
      <u/>
      <sz val="11.000000"/>
      <color theme="10"/>
      <name val="Calibri"/>
      <scheme val="minor"/>
    </font>
    <font>
      <sz val="11.000000"/>
      <name val="Calibri"/>
      <scheme val="minor"/>
    </font>
    <font>
      <sz val="26.000000"/>
      <name val="Calibri"/>
      <scheme val="minor"/>
    </font>
    <font>
      <sz val="8.000000"/>
      <name val="Calibri"/>
      <scheme val="minor"/>
    </font>
    <font>
      <sz val="8.000000"/>
      <color theme="1"/>
      <name val="Calibri"/>
      <scheme val="minor"/>
    </font>
    <font>
      <sz val="11.000000"/>
      <color indexed="2"/>
      <name val="Calibri"/>
      <scheme val="minor"/>
    </font>
    <font>
      <sz val="11.000000"/>
      <color theme="4" tint="0.59999389629810485"/>
      <name val="Calibri"/>
      <scheme val="minor"/>
    </font>
  </fonts>
  <fills count="4">
    <fill>
      <patternFill patternType="none"/>
    </fill>
    <fill>
      <patternFill patternType="gray125"/>
    </fill>
    <fill>
      <patternFill patternType="solid">
        <fgColor rgb="FF92D050"/>
      </patternFill>
    </fill>
    <fill>
      <patternFill patternType="solid">
        <fgColor rgb="FF00B0F0"/>
      </patternFill>
    </fill>
  </fills>
  <borders count="18">
    <border>
      <left style="none"/>
      <right style="none"/>
      <top style="none"/>
      <bottom style="none"/>
      <diagonal style="none"/>
    </border>
    <border>
      <left style="medium">
        <color auto="1"/>
      </left>
      <right style="thin">
        <color auto="1"/>
      </right>
      <top style="medium">
        <color auto="1"/>
      </top>
      <bottom style="medium">
        <color auto="1"/>
      </bottom>
      <diagonal style="none"/>
    </border>
    <border>
      <left style="none"/>
      <right style="thin">
        <color auto="1"/>
      </right>
      <top style="medium">
        <color auto="1"/>
      </top>
      <bottom style="medium">
        <color auto="1"/>
      </bottom>
      <diagonal style="none"/>
    </border>
    <border>
      <left style="thin">
        <color auto="1"/>
      </left>
      <right style="thin">
        <color auto="1"/>
      </right>
      <top style="medium">
        <color auto="1"/>
      </top>
      <bottom style="medium">
        <color auto="1"/>
      </bottom>
      <diagonal style="none"/>
    </border>
    <border>
      <left style="thin">
        <color auto="1"/>
      </left>
      <right style="none"/>
      <top style="medium">
        <color auto="1"/>
      </top>
      <bottom style="medium">
        <color auto="1"/>
      </bottom>
      <diagonal style="none"/>
    </border>
    <border>
      <left style="none"/>
      <right style="medium">
        <color auto="1"/>
      </right>
      <top style="medium">
        <color auto="1"/>
      </top>
      <bottom style="medium">
        <color auto="1"/>
      </bottom>
      <diagonal style="none"/>
    </border>
    <border>
      <left style="medium">
        <color auto="1"/>
      </left>
      <right style="medium">
        <color auto="1"/>
      </right>
      <top style="medium">
        <color auto="1"/>
      </top>
      <bottom style="none"/>
      <diagonal style="none"/>
    </border>
    <border>
      <left style="medium">
        <color auto="1"/>
      </left>
      <right style="thin">
        <color auto="1"/>
      </right>
      <top style="medium">
        <color auto="1"/>
      </top>
      <bottom style="thin">
        <color auto="1"/>
      </bottom>
      <diagonal style="none"/>
    </border>
    <border>
      <left style="none"/>
      <right style="thin">
        <color auto="1"/>
      </right>
      <top style="medium">
        <color auto="1"/>
      </top>
      <bottom style="thin">
        <color auto="1"/>
      </bottom>
      <diagonal style="none"/>
    </border>
    <border>
      <left style="thin">
        <color auto="1"/>
      </left>
      <right style="thin">
        <color auto="1"/>
      </right>
      <top style="medium">
        <color auto="1"/>
      </top>
      <bottom style="thin">
        <color auto="1"/>
      </bottom>
      <diagonal style="none"/>
    </border>
    <border>
      <left style="thin">
        <color auto="1"/>
      </left>
      <right style="thin">
        <color auto="1"/>
      </right>
      <top style="thin">
        <color auto="1"/>
      </top>
      <bottom style="thin">
        <color auto="1"/>
      </bottom>
      <diagonal style="none"/>
    </border>
    <border>
      <left style="thin">
        <color auto="1"/>
      </left>
      <right style="none"/>
      <top style="medium">
        <color auto="1"/>
      </top>
      <bottom style="thin">
        <color auto="1"/>
      </bottom>
      <diagonal style="none"/>
    </border>
    <border>
      <left style="thin">
        <color auto="1"/>
      </left>
      <right style="thin">
        <color auto="1"/>
      </right>
      <top style="none"/>
      <bottom style="thin">
        <color auto="1"/>
      </bottom>
      <diagonal style="none"/>
    </border>
    <border>
      <left style="medium">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thin">
        <color auto="1"/>
      </right>
      <top style="thin">
        <color auto="1"/>
      </top>
      <bottom style="thin">
        <color auto="1"/>
      </bottom>
      <diagonal style="none"/>
    </border>
    <border>
      <left style="medium">
        <color auto="1"/>
      </left>
      <right style="none"/>
      <top style="medium">
        <color auto="1"/>
      </top>
      <bottom style="medium">
        <color auto="1"/>
      </bottom>
      <diagonal style="none"/>
    </border>
    <border>
      <left style="medium">
        <color auto="1"/>
      </left>
      <right style="medium">
        <color auto="1"/>
      </right>
      <top style="medium">
        <color auto="1"/>
      </top>
      <bottom style="medium">
        <color auto="1"/>
      </bottom>
      <diagonal style="none"/>
    </border>
  </borders>
  <cellStyleXfs count="2">
    <xf fontId="0" fillId="0" borderId="0" numFmtId="0" applyNumberFormat="1" applyFont="1" applyFill="1" applyBorder="1"/>
    <xf fontId="1" fillId="0" borderId="0" numFmtId="0" applyNumberFormat="0" applyFont="1" applyFill="0" applyBorder="0" applyProtection="0"/>
  </cellStyleXfs>
  <cellXfs count="60">
    <xf fontId="0" fillId="0" borderId="0" numFmtId="0" xfId="0"/>
    <xf fontId="0" fillId="0" borderId="0" numFmtId="0" xfId="0" applyAlignment="1">
      <alignment horizontal="left"/>
    </xf>
    <xf fontId="2" fillId="0" borderId="0" numFmtId="0" xfId="0" applyFont="1" applyAlignment="1">
      <alignment horizontal="left"/>
    </xf>
    <xf fontId="0" fillId="0" borderId="0" numFmtId="0" xfId="0" applyAlignment="1">
      <alignment horizontal="center"/>
    </xf>
    <xf fontId="0" fillId="0" borderId="0" numFmtId="0" xfId="0" applyAlignment="1">
      <alignment vertical="top"/>
    </xf>
    <xf fontId="3" fillId="0" borderId="0" numFmtId="0" xfId="0" applyFont="1" applyAlignment="1">
      <alignment horizontal="left"/>
    </xf>
    <xf fontId="0" fillId="0" borderId="0" numFmtId="0" xfId="0" applyAlignment="1">
      <alignment horizontal="center" vertical="center"/>
    </xf>
    <xf fontId="4" fillId="0" borderId="0" numFmtId="14" xfId="0" applyNumberFormat="1" applyFont="1" applyAlignment="1">
      <alignment horizontal="left"/>
    </xf>
    <xf fontId="5" fillId="0" borderId="0" numFmtId="0" xfId="0" applyFont="1" applyAlignment="1">
      <alignment vertical="top" wrapText="1"/>
    </xf>
    <xf fontId="5" fillId="0" borderId="0" numFmtId="0" xfId="0" applyFont="1" applyAlignment="1">
      <alignment horizontal="left" wrapText="1"/>
    </xf>
    <xf fontId="2" fillId="2" borderId="1" numFmtId="0" xfId="0" applyFont="1" applyFill="1" applyBorder="1" applyAlignment="1">
      <alignment horizontal="center"/>
    </xf>
    <xf fontId="2" fillId="2" borderId="2" numFmtId="0" xfId="0" applyFont="1" applyFill="1" applyBorder="1" applyAlignment="1">
      <alignment horizontal="center"/>
    </xf>
    <xf fontId="2" fillId="3" borderId="3" numFmtId="0" xfId="0" applyFont="1" applyFill="1" applyBorder="1" applyAlignment="1">
      <alignment horizontal="center"/>
    </xf>
    <xf fontId="2" fillId="3" borderId="3" numFmtId="0" xfId="0" applyFont="1" applyFill="1" applyBorder="1" applyAlignment="1">
      <alignment horizontal="left"/>
    </xf>
    <xf fontId="2" fillId="3" borderId="3" numFmtId="0" xfId="0" applyFont="1" applyFill="1" applyBorder="1" applyAlignment="1">
      <alignment vertical="top"/>
    </xf>
    <xf fontId="2" fillId="3" borderId="4" numFmtId="0" xfId="0" applyFont="1" applyFill="1" applyBorder="1" applyAlignment="1">
      <alignment horizontal="left"/>
    </xf>
    <xf fontId="2" fillId="3" borderId="5" numFmtId="0" xfId="0" applyFont="1" applyFill="1" applyBorder="1" applyAlignment="1">
      <alignment horizontal="left"/>
    </xf>
    <xf fontId="2" fillId="3" borderId="6" numFmtId="0" xfId="0" applyFont="1" applyFill="1" applyBorder="1"/>
    <xf fontId="0" fillId="0" borderId="7" numFmtId="0" xfId="0" applyBorder="1" applyAlignment="1">
      <alignment horizontal="center" vertical="top"/>
    </xf>
    <xf fontId="2" fillId="0" borderId="8" numFmtId="0" xfId="0" applyFont="1" applyBorder="1" applyAlignment="1">
      <alignment horizontal="center" vertical="top"/>
    </xf>
    <xf fontId="0" fillId="0" borderId="9" numFmtId="0" xfId="0" applyBorder="1" applyAlignment="1">
      <alignment horizontal="center" vertical="top"/>
    </xf>
    <xf fontId="0" fillId="0" borderId="9" numFmtId="49" xfId="0" applyNumberFormat="1" applyBorder="1" applyAlignment="1" quotePrefix="1">
      <alignment horizontal="center" vertical="top"/>
    </xf>
    <xf fontId="2" fillId="0" borderId="10" numFmtId="0" xfId="0" applyFont="1" applyBorder="1" applyAlignment="1">
      <alignment horizontal="center" vertical="top"/>
    </xf>
    <xf fontId="0" fillId="0" borderId="10" numFmtId="0" xfId="0" applyBorder="1" applyAlignment="1">
      <alignment horizontal="left" vertical="top"/>
    </xf>
    <xf fontId="0" fillId="0" borderId="9" numFmtId="0" xfId="0" applyBorder="1" applyAlignment="1">
      <alignment vertical="top" wrapText="1"/>
    </xf>
    <xf fontId="0" fillId="0" borderId="11" numFmtId="0" xfId="0" applyBorder="1" applyAlignment="1">
      <alignment horizontal="left" vertical="top" wrapText="1"/>
    </xf>
    <xf fontId="0" fillId="0" borderId="12" numFmtId="0" xfId="0" applyBorder="1" applyAlignment="1">
      <alignment horizontal="center" vertical="center" wrapText="1"/>
    </xf>
    <xf fontId="0" fillId="0" borderId="11" numFmtId="0" xfId="0" applyBorder="1" applyAlignment="1">
      <alignment vertical="top"/>
    </xf>
    <xf fontId="0" fillId="0" borderId="13" numFmtId="0" xfId="0" applyBorder="1" applyAlignment="1">
      <alignment horizontal="center" vertical="top"/>
    </xf>
    <xf fontId="0" fillId="0" borderId="10" numFmtId="0" xfId="0" applyBorder="1" applyAlignment="1">
      <alignment horizontal="center" vertical="top"/>
    </xf>
    <xf fontId="0" fillId="0" borderId="10" numFmtId="49" xfId="0" applyNumberFormat="1" applyBorder="1" applyAlignment="1">
      <alignment horizontal="center" vertical="top"/>
    </xf>
    <xf fontId="0" fillId="0" borderId="10" numFmtId="0" xfId="0" applyBorder="1" applyAlignment="1">
      <alignment vertical="top"/>
    </xf>
    <xf fontId="0" fillId="0" borderId="14" numFmtId="0" xfId="0" applyBorder="1" applyAlignment="1">
      <alignment horizontal="left" vertical="top"/>
    </xf>
    <xf fontId="0" fillId="0" borderId="10" numFmtId="0" xfId="0" applyBorder="1" applyAlignment="1">
      <alignment horizontal="center" vertical="center" wrapText="1"/>
    </xf>
    <xf fontId="0" fillId="0" borderId="14" numFmtId="0" xfId="0" applyBorder="1" applyAlignment="1">
      <alignment vertical="top"/>
    </xf>
    <xf fontId="0" fillId="0" borderId="14" numFmtId="0" xfId="0" applyBorder="1" applyAlignment="1">
      <alignment horizontal="left" vertical="top" wrapText="1"/>
    </xf>
    <xf fontId="0" fillId="0" borderId="10" numFmtId="49" xfId="0" applyNumberFormat="1" applyBorder="1" applyAlignment="1" quotePrefix="1">
      <alignment horizontal="center" vertical="top"/>
    </xf>
    <xf fontId="0" fillId="0" borderId="10" numFmtId="0" xfId="0" applyBorder="1" applyAlignment="1">
      <alignment vertical="top" wrapText="1"/>
    </xf>
    <xf fontId="2" fillId="0" borderId="15" numFmtId="0" xfId="0" applyFont="1" applyBorder="1" applyAlignment="1">
      <alignment horizontal="center" vertical="top"/>
    </xf>
    <xf fontId="0" fillId="0" borderId="14" numFmtId="0" xfId="0" applyBorder="1" applyAlignment="1">
      <alignment horizontal="center" vertical="top"/>
    </xf>
    <xf fontId="6" fillId="0" borderId="14" numFmtId="0" xfId="0" applyFont="1" applyBorder="1" applyAlignment="1">
      <alignment horizontal="center" vertical="top"/>
    </xf>
    <xf fontId="7" fillId="0" borderId="14" numFmtId="0" xfId="0" applyFont="1" applyBorder="1" applyAlignment="1">
      <alignment vertical="top"/>
    </xf>
    <xf fontId="0" fillId="0" borderId="10" numFmtId="0" xfId="0" applyBorder="1" applyAlignment="1">
      <alignment horizontal="left" vertical="top" wrapText="1"/>
    </xf>
    <xf fontId="2" fillId="3" borderId="1" numFmtId="0" xfId="0" applyFont="1" applyFill="1" applyBorder="1" applyAlignment="1">
      <alignment horizontal="center"/>
    </xf>
    <xf fontId="2" fillId="3" borderId="2" numFmtId="0" xfId="0" applyFont="1" applyFill="1" applyBorder="1" applyAlignment="1">
      <alignment horizontal="center"/>
    </xf>
    <xf fontId="2" fillId="3" borderId="1" numFmtId="0" xfId="0" applyFont="1" applyFill="1" applyBorder="1" applyAlignment="1">
      <alignment horizontal="left"/>
    </xf>
    <xf fontId="2" fillId="3" borderId="2" numFmtId="0" xfId="0" applyFont="1" applyFill="1" applyBorder="1" applyAlignment="1">
      <alignment horizontal="left"/>
    </xf>
    <xf fontId="0" fillId="0" borderId="12" numFmtId="0" xfId="0" applyBorder="1" applyAlignment="1">
      <alignment horizontal="left"/>
    </xf>
    <xf fontId="0" fillId="0" borderId="12" numFmtId="0" xfId="0" applyBorder="1" applyAlignment="1">
      <alignment horizontal="left" vertical="center" wrapText="1"/>
    </xf>
    <xf fontId="0" fillId="0" borderId="10" numFmtId="0" xfId="0" applyBorder="1" applyAlignment="1">
      <alignment horizontal="left"/>
    </xf>
    <xf fontId="0" fillId="0" borderId="10" numFmtId="0" xfId="0" applyBorder="1" applyAlignment="1">
      <alignment horizontal="left" vertical="center" wrapText="1"/>
    </xf>
    <xf fontId="0" fillId="0" borderId="10" numFmtId="0" xfId="0" applyBorder="1"/>
    <xf fontId="0" fillId="0" borderId="10" numFmtId="0" xfId="0" applyBorder="1" applyAlignment="1">
      <alignment horizontal="left" wrapText="1"/>
    </xf>
    <xf fontId="1" fillId="0" borderId="0" numFmtId="0" xfId="1" applyFont="1"/>
    <xf fontId="2" fillId="3" borderId="16" numFmtId="0" xfId="0" applyFont="1" applyFill="1" applyBorder="1" applyAlignment="1">
      <alignment horizontal="left"/>
    </xf>
    <xf fontId="2" fillId="3" borderId="17" numFmtId="0" xfId="0" applyFont="1" applyFill="1" applyBorder="1" applyAlignment="1">
      <alignment horizontal="center"/>
    </xf>
    <xf fontId="0" fillId="0" borderId="12" numFmtId="164" xfId="0" applyNumberFormat="1" applyBorder="1" applyAlignment="1">
      <alignment horizontal="center"/>
    </xf>
    <xf fontId="0" fillId="0" borderId="12" numFmtId="0" xfId="0" applyBorder="1" applyAlignment="1">
      <alignment horizontal="center"/>
    </xf>
    <xf fontId="0" fillId="0" borderId="10" numFmtId="164" xfId="0" applyNumberFormat="1" applyBorder="1" applyAlignment="1">
      <alignment horizontal="center"/>
    </xf>
    <xf fontId="0" fillId="0" borderId="10" numFmtId="0" xfId="0"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9</xdr:col>
      <xdr:colOff>12700</xdr:colOff>
      <xdr:row>19</xdr:row>
      <xdr:rowOff>19050</xdr:rowOff>
    </xdr:from>
    <xdr:to>
      <xdr:col>9</xdr:col>
      <xdr:colOff>4594225</xdr:colOff>
      <xdr:row>19</xdr:row>
      <xdr:rowOff>2080736</xdr:rowOff>
    </xdr:to>
    <xdr:pic>
      <xdr:nvPicPr>
        <xdr:cNvPr id="2" name="Picture 1"/>
        <xdr:cNvPicPr>
          <a:picLocks noChangeAspect="1"/>
        </xdr:cNvPicPr>
      </xdr:nvPicPr>
      <xdr:blipFill rotWithShape="1">
        <a:blip r:embed="rId1"/>
        <a:stretch/>
      </xdr:blipFill>
      <xdr:spPr bwMode="auto">
        <a:xfrm>
          <a:off x="15271750" y="8864600"/>
          <a:ext cx="4581525" cy="2061686"/>
        </a:xfrm>
        <a:prstGeom prst="rect">
          <a:avLst/>
        </a:prstGeom>
      </xdr:spPr>
    </xdr:pic>
    <xdr:clientData/>
  </xdr:twoCellAnchor>
  <xdr:twoCellAnchor editAs="oneCell">
    <xdr:from>
      <xdr:col>9</xdr:col>
      <xdr:colOff>38100</xdr:colOff>
      <xdr:row>18</xdr:row>
      <xdr:rowOff>31750</xdr:rowOff>
    </xdr:from>
    <xdr:to>
      <xdr:col>9</xdr:col>
      <xdr:colOff>4629151</xdr:colOff>
      <xdr:row>18</xdr:row>
      <xdr:rowOff>2067159</xdr:rowOff>
    </xdr:to>
    <xdr:pic>
      <xdr:nvPicPr>
        <xdr:cNvPr id="3" name="Picture 2"/>
        <xdr:cNvPicPr>
          <a:picLocks noChangeAspect="1"/>
        </xdr:cNvPicPr>
      </xdr:nvPicPr>
      <xdr:blipFill rotWithShape="1">
        <a:blip r:embed="rId2"/>
        <a:stretch/>
      </xdr:blipFill>
      <xdr:spPr bwMode="auto">
        <a:xfrm>
          <a:off x="15297151" y="6788150"/>
          <a:ext cx="4591050" cy="2035408"/>
        </a:xfrm>
        <a:prstGeom prst="rect">
          <a:avLst/>
        </a:prstGeom>
      </xdr:spPr>
    </xdr:pic>
    <xdr:clientData/>
  </xdr:twoCellAnchor>
  <xdr:twoCellAnchor editAs="oneCell">
    <xdr:from>
      <xdr:col>9</xdr:col>
      <xdr:colOff>31750</xdr:colOff>
      <xdr:row>20</xdr:row>
      <xdr:rowOff>196848</xdr:rowOff>
    </xdr:from>
    <xdr:to>
      <xdr:col>9</xdr:col>
      <xdr:colOff>4632323</xdr:colOff>
      <xdr:row>20</xdr:row>
      <xdr:rowOff>1160217</xdr:rowOff>
    </xdr:to>
    <xdr:pic>
      <xdr:nvPicPr>
        <xdr:cNvPr id="4" name="Picture 3"/>
        <xdr:cNvPicPr>
          <a:picLocks noChangeAspect="1"/>
        </xdr:cNvPicPr>
      </xdr:nvPicPr>
      <xdr:blipFill rotWithShape="1">
        <a:blip r:embed="rId3"/>
        <a:stretch/>
      </xdr:blipFill>
      <xdr:spPr bwMode="auto">
        <a:xfrm>
          <a:off x="15271750" y="11144250"/>
          <a:ext cx="4600575" cy="963368"/>
        </a:xfrm>
        <a:prstGeom prst="rect">
          <a:avLst/>
        </a:prstGeom>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topLeftCell="J1" zoomScale="100" workbookViewId="0">
      <pane ySplit="3" topLeftCell="A4" activePane="bottomLeft" state="frozen"/>
      <selection activeCell="H5" activeCellId="0" sqref="H5"/>
    </sheetView>
  </sheetViews>
  <sheetFormatPr defaultColWidth="8.81640625" defaultRowHeight="14.25"/>
  <cols>
    <col customWidth="1" min="1" max="1" style="1" width="12.26953125"/>
    <col customWidth="1" min="2" max="2" style="2" width="12.54296875"/>
    <col customWidth="1" min="3" max="3" style="1" width="17.81640625"/>
    <col customWidth="1" min="4" max="4" style="1" width="13.54296875"/>
    <col customWidth="1" min="5" max="5" style="1" width="11.54296875"/>
    <col customWidth="1" min="6" max="6" style="3" width="13.453125"/>
    <col customWidth="1" min="7" max="7" style="3" width="14.1796875"/>
    <col customWidth="1" min="8" max="8" style="1" width="61.81640625"/>
    <col customWidth="1" min="9" max="9" style="4" width="61"/>
    <col customWidth="1" min="10" max="10" style="1" width="77.81640625"/>
    <col customWidth="1" min="11" max="11" style="1" width="9"/>
    <col bestFit="1" customWidth="1" min="12" max="12" width="89.54296875"/>
  </cols>
  <sheetData>
    <row r="1" ht="18.649999999999999" customHeight="1">
      <c r="A1" s="1" t="s">
        <v>0</v>
      </c>
      <c r="B1" s="5"/>
      <c r="C1" s="1" t="s">
        <v>1</v>
      </c>
      <c r="D1" s="1" t="s">
        <v>2</v>
      </c>
      <c r="K1" s="6" t="s">
        <v>3</v>
      </c>
    </row>
    <row r="2" ht="15">
      <c r="B2" s="7"/>
      <c r="I2" s="8"/>
      <c r="J2" s="9"/>
      <c r="K2" s="6" t="s">
        <v>4</v>
      </c>
    </row>
    <row r="3" ht="15" customHeight="1">
      <c r="A3" s="10" t="s">
        <v>5</v>
      </c>
      <c r="B3" s="11" t="s">
        <v>6</v>
      </c>
      <c r="C3" s="12" t="s">
        <v>7</v>
      </c>
      <c r="D3" s="12" t="s">
        <v>8</v>
      </c>
      <c r="E3" s="12" t="s">
        <v>9</v>
      </c>
      <c r="F3" s="12" t="s">
        <v>10</v>
      </c>
      <c r="G3" s="12" t="s">
        <v>11</v>
      </c>
      <c r="H3" s="13" t="s">
        <v>12</v>
      </c>
      <c r="I3" s="14" t="s">
        <v>13</v>
      </c>
      <c r="J3" s="15" t="s">
        <v>14</v>
      </c>
      <c r="K3" s="16" t="s">
        <v>15</v>
      </c>
      <c r="L3" s="17" t="s">
        <v>16</v>
      </c>
    </row>
    <row r="4" ht="108.75" customHeight="1">
      <c r="A4" s="18">
        <v>1</v>
      </c>
      <c r="B4" s="19" t="s">
        <v>17</v>
      </c>
      <c r="C4" s="20" t="s">
        <v>18</v>
      </c>
      <c r="D4" s="21" t="s">
        <v>19</v>
      </c>
      <c r="E4" s="20" t="s">
        <v>20</v>
      </c>
      <c r="F4" s="20"/>
      <c r="G4" s="22">
        <v>5.5</v>
      </c>
      <c r="H4" s="23" t="s">
        <v>21</v>
      </c>
      <c r="I4" s="24" t="s">
        <v>22</v>
      </c>
      <c r="J4" s="25" t="s">
        <v>23</v>
      </c>
      <c r="K4" s="26" t="s">
        <v>3</v>
      </c>
      <c r="L4" s="27" t="s">
        <v>24</v>
      </c>
    </row>
    <row r="5">
      <c r="A5" s="28">
        <f t="shared" ref="A5:A35" si="0">A4+1</f>
        <v>2</v>
      </c>
      <c r="B5" s="22" t="s">
        <v>25</v>
      </c>
      <c r="C5" s="29" t="s">
        <v>26</v>
      </c>
      <c r="D5" s="30"/>
      <c r="E5" s="29" t="s">
        <v>27</v>
      </c>
      <c r="F5" s="22">
        <v>0</v>
      </c>
      <c r="G5" s="22">
        <v>0</v>
      </c>
      <c r="H5" s="23" t="s">
        <v>28</v>
      </c>
      <c r="I5" s="31" t="s">
        <v>29</v>
      </c>
      <c r="J5" s="32"/>
      <c r="K5" s="33" t="s">
        <v>3</v>
      </c>
      <c r="L5" s="34"/>
    </row>
    <row r="6" ht="58">
      <c r="A6" s="28">
        <f t="shared" si="0"/>
        <v>3</v>
      </c>
      <c r="B6" s="22" t="s">
        <v>30</v>
      </c>
      <c r="C6" s="29" t="s">
        <v>31</v>
      </c>
      <c r="D6" s="30" t="s">
        <v>32</v>
      </c>
      <c r="E6" s="29" t="s">
        <v>33</v>
      </c>
      <c r="F6" s="22"/>
      <c r="G6" s="22">
        <v>5.5</v>
      </c>
      <c r="H6" s="23" t="s">
        <v>34</v>
      </c>
      <c r="I6" s="31" t="s">
        <v>35</v>
      </c>
      <c r="J6" s="35" t="s">
        <v>36</v>
      </c>
      <c r="K6" s="33" t="s">
        <v>3</v>
      </c>
      <c r="L6" s="34"/>
    </row>
    <row r="7" ht="71.25">
      <c r="A7" s="28">
        <f t="shared" si="0"/>
        <v>4</v>
      </c>
      <c r="B7" s="22" t="s">
        <v>37</v>
      </c>
      <c r="C7" s="29" t="s">
        <v>38</v>
      </c>
      <c r="D7" s="36" t="s">
        <v>19</v>
      </c>
      <c r="E7" s="29" t="s">
        <v>33</v>
      </c>
      <c r="F7" s="22"/>
      <c r="G7" s="22">
        <v>5.5</v>
      </c>
      <c r="H7" s="23" t="s">
        <v>39</v>
      </c>
      <c r="I7" s="37" t="s">
        <v>40</v>
      </c>
      <c r="J7" s="35" t="s">
        <v>41</v>
      </c>
      <c r="K7" s="33" t="s">
        <v>3</v>
      </c>
      <c r="L7" s="34" t="s">
        <v>24</v>
      </c>
    </row>
    <row r="8" ht="57">
      <c r="A8" s="28">
        <f t="shared" si="0"/>
        <v>5</v>
      </c>
      <c r="B8" s="22" t="s">
        <v>42</v>
      </c>
      <c r="C8" s="29" t="s">
        <v>43</v>
      </c>
      <c r="D8" s="30" t="s">
        <v>32</v>
      </c>
      <c r="E8" s="29" t="s">
        <v>33</v>
      </c>
      <c r="F8" s="22"/>
      <c r="G8" s="22">
        <v>5.5</v>
      </c>
      <c r="H8" s="23" t="s">
        <v>44</v>
      </c>
      <c r="I8" s="31" t="s">
        <v>35</v>
      </c>
      <c r="J8" s="35" t="s">
        <v>45</v>
      </c>
      <c r="K8" s="33"/>
      <c r="L8" s="34"/>
    </row>
    <row r="9" ht="15" customHeight="1">
      <c r="A9" s="28">
        <f t="shared" si="0"/>
        <v>6</v>
      </c>
      <c r="B9" s="38" t="s">
        <v>46</v>
      </c>
      <c r="C9" s="29" t="s">
        <v>47</v>
      </c>
      <c r="D9" s="36"/>
      <c r="E9" s="29" t="s">
        <v>27</v>
      </c>
      <c r="F9" s="22">
        <v>0</v>
      </c>
      <c r="G9" s="22">
        <v>0</v>
      </c>
      <c r="H9" s="23" t="s">
        <v>48</v>
      </c>
      <c r="I9" s="31" t="s">
        <v>29</v>
      </c>
      <c r="J9" s="32"/>
      <c r="K9" s="33" t="s">
        <v>3</v>
      </c>
      <c r="L9" s="34"/>
    </row>
    <row r="10" ht="15" customHeight="1">
      <c r="A10" s="28">
        <f t="shared" si="0"/>
        <v>7</v>
      </c>
      <c r="B10" s="38" t="s">
        <v>49</v>
      </c>
      <c r="C10" s="29" t="s">
        <v>50</v>
      </c>
      <c r="D10" s="30" t="s">
        <v>51</v>
      </c>
      <c r="E10" s="29" t="s">
        <v>52</v>
      </c>
      <c r="F10" s="22"/>
      <c r="G10" s="22" t="s">
        <v>53</v>
      </c>
      <c r="H10" s="23" t="s">
        <v>54</v>
      </c>
      <c r="I10" s="31" t="s">
        <v>55</v>
      </c>
      <c r="J10" s="32"/>
      <c r="K10" s="33" t="s">
        <v>3</v>
      </c>
      <c r="L10" s="33"/>
    </row>
    <row r="11" ht="15" customHeight="1">
      <c r="A11" s="28">
        <f t="shared" si="0"/>
        <v>8</v>
      </c>
      <c r="B11" s="38" t="s">
        <v>56</v>
      </c>
      <c r="C11" s="29" t="s">
        <v>57</v>
      </c>
      <c r="D11" s="30" t="s">
        <v>51</v>
      </c>
      <c r="E11" s="29" t="s">
        <v>52</v>
      </c>
      <c r="F11" s="22"/>
      <c r="G11" s="22" t="s">
        <v>53</v>
      </c>
      <c r="H11" s="23" t="s">
        <v>54</v>
      </c>
      <c r="I11" s="31" t="s">
        <v>55</v>
      </c>
      <c r="J11" s="32"/>
      <c r="K11" s="33" t="s">
        <v>3</v>
      </c>
      <c r="L11" s="34"/>
    </row>
    <row r="12" ht="15" customHeight="1">
      <c r="A12" s="28">
        <f t="shared" si="0"/>
        <v>9</v>
      </c>
      <c r="B12" s="38" t="s">
        <v>58</v>
      </c>
      <c r="C12" s="29" t="s">
        <v>59</v>
      </c>
      <c r="D12" s="30" t="s">
        <v>51</v>
      </c>
      <c r="E12" s="29" t="s">
        <v>52</v>
      </c>
      <c r="F12" s="22"/>
      <c r="G12" s="22" t="s">
        <v>53</v>
      </c>
      <c r="H12" s="23" t="s">
        <v>54</v>
      </c>
      <c r="I12" s="31" t="s">
        <v>55</v>
      </c>
      <c r="J12" s="32"/>
      <c r="K12" s="33" t="s">
        <v>3</v>
      </c>
      <c r="L12" s="34"/>
    </row>
    <row r="13" ht="15" customHeight="1">
      <c r="A13" s="28">
        <f t="shared" si="0"/>
        <v>10</v>
      </c>
      <c r="B13" s="38" t="s">
        <v>60</v>
      </c>
      <c r="C13" s="29" t="s">
        <v>61</v>
      </c>
      <c r="D13" s="30" t="s">
        <v>51</v>
      </c>
      <c r="E13" s="29" t="s">
        <v>52</v>
      </c>
      <c r="F13" s="22"/>
      <c r="G13" s="22" t="s">
        <v>53</v>
      </c>
      <c r="H13" s="23" t="s">
        <v>54</v>
      </c>
      <c r="I13" s="31" t="s">
        <v>55</v>
      </c>
      <c r="J13" s="32"/>
      <c r="K13" s="33" t="s">
        <v>3</v>
      </c>
      <c r="L13" s="39"/>
    </row>
    <row r="14" ht="15" customHeight="1">
      <c r="A14" s="28">
        <f t="shared" si="0"/>
        <v>11</v>
      </c>
      <c r="B14" s="38" t="s">
        <v>62</v>
      </c>
      <c r="C14" s="29" t="s">
        <v>63</v>
      </c>
      <c r="D14" s="30" t="s">
        <v>51</v>
      </c>
      <c r="E14" s="29" t="s">
        <v>52</v>
      </c>
      <c r="F14" s="22"/>
      <c r="G14" s="22" t="s">
        <v>53</v>
      </c>
      <c r="H14" s="23" t="s">
        <v>54</v>
      </c>
      <c r="I14" s="31" t="s">
        <v>55</v>
      </c>
      <c r="J14" s="32"/>
      <c r="K14" s="33" t="s">
        <v>3</v>
      </c>
      <c r="L14" s="39"/>
    </row>
    <row r="15" ht="28.5">
      <c r="A15" s="28">
        <f t="shared" si="0"/>
        <v>12</v>
      </c>
      <c r="B15" s="38" t="s">
        <v>64</v>
      </c>
      <c r="C15" s="29" t="s">
        <v>65</v>
      </c>
      <c r="D15" s="30" t="s">
        <v>19</v>
      </c>
      <c r="E15" s="29" t="s">
        <v>33</v>
      </c>
      <c r="F15" s="22" t="s">
        <v>66</v>
      </c>
      <c r="G15" s="22">
        <v>5.5</v>
      </c>
      <c r="H15" s="23" t="s">
        <v>67</v>
      </c>
      <c r="I15" s="31" t="s">
        <v>68</v>
      </c>
      <c r="J15" s="35" t="s">
        <v>69</v>
      </c>
      <c r="K15" s="33" t="s">
        <v>3</v>
      </c>
      <c r="L15" s="34"/>
    </row>
    <row r="16" ht="15" customHeight="1">
      <c r="A16" s="28">
        <f t="shared" si="0"/>
        <v>13</v>
      </c>
      <c r="B16" s="38" t="s">
        <v>70</v>
      </c>
      <c r="C16" s="29" t="s">
        <v>71</v>
      </c>
      <c r="D16" s="30" t="s">
        <v>51</v>
      </c>
      <c r="E16" s="29" t="s">
        <v>52</v>
      </c>
      <c r="F16" s="22"/>
      <c r="G16" s="22" t="s">
        <v>53</v>
      </c>
      <c r="H16" s="23" t="s">
        <v>72</v>
      </c>
      <c r="I16" s="31" t="s">
        <v>73</v>
      </c>
      <c r="J16" s="32" t="s">
        <v>74</v>
      </c>
      <c r="K16" s="33" t="s">
        <v>3</v>
      </c>
      <c r="L16" s="34"/>
    </row>
    <row r="17" ht="15" customHeight="1">
      <c r="A17" s="28">
        <f t="shared" si="0"/>
        <v>14</v>
      </c>
      <c r="B17" s="38" t="s">
        <v>75</v>
      </c>
      <c r="C17" s="29" t="s">
        <v>76</v>
      </c>
      <c r="D17" s="30" t="s">
        <v>19</v>
      </c>
      <c r="E17" s="29" t="s">
        <v>52</v>
      </c>
      <c r="F17" s="22"/>
      <c r="G17" s="22" t="s">
        <v>53</v>
      </c>
      <c r="H17" s="23" t="s">
        <v>77</v>
      </c>
      <c r="I17" s="31" t="s">
        <v>73</v>
      </c>
      <c r="J17" s="32" t="s">
        <v>74</v>
      </c>
      <c r="K17" s="33" t="s">
        <v>3</v>
      </c>
      <c r="L17" s="34"/>
    </row>
    <row r="18" ht="71.25">
      <c r="A18" s="28">
        <f t="shared" si="0"/>
        <v>15</v>
      </c>
      <c r="B18" s="38" t="s">
        <v>78</v>
      </c>
      <c r="C18" s="29" t="s">
        <v>79</v>
      </c>
      <c r="D18" s="30" t="s">
        <v>19</v>
      </c>
      <c r="E18" s="29" t="s">
        <v>52</v>
      </c>
      <c r="F18" s="22"/>
      <c r="G18" s="22">
        <v>5.5</v>
      </c>
      <c r="H18" s="23" t="s">
        <v>80</v>
      </c>
      <c r="I18" s="37" t="s">
        <v>81</v>
      </c>
      <c r="J18" s="32"/>
      <c r="K18" s="33"/>
      <c r="L18" s="34"/>
    </row>
    <row r="19" ht="164.5" customHeight="1">
      <c r="A19" s="28">
        <f t="shared" si="0"/>
        <v>16</v>
      </c>
      <c r="B19" s="38" t="s">
        <v>82</v>
      </c>
      <c r="C19" s="29" t="s">
        <v>83</v>
      </c>
      <c r="D19" s="30" t="s">
        <v>19</v>
      </c>
      <c r="E19" s="29" t="s">
        <v>20</v>
      </c>
      <c r="F19" s="22"/>
      <c r="G19" s="22">
        <v>5.5</v>
      </c>
      <c r="H19" s="23" t="s">
        <v>84</v>
      </c>
      <c r="I19" s="37" t="s">
        <v>85</v>
      </c>
      <c r="J19" s="32"/>
      <c r="K19" s="33" t="s">
        <v>3</v>
      </c>
      <c r="L19" s="34"/>
    </row>
    <row r="20" ht="165.75" customHeight="1">
      <c r="A20" s="28">
        <f t="shared" si="0"/>
        <v>17</v>
      </c>
      <c r="B20" s="38" t="s">
        <v>86</v>
      </c>
      <c r="C20" s="29" t="s">
        <v>87</v>
      </c>
      <c r="D20" s="30" t="s">
        <v>19</v>
      </c>
      <c r="E20" s="29" t="s">
        <v>20</v>
      </c>
      <c r="F20" s="22"/>
      <c r="G20" s="22">
        <v>5.5</v>
      </c>
      <c r="H20" s="23" t="s">
        <v>88</v>
      </c>
      <c r="I20" s="37" t="s">
        <v>89</v>
      </c>
      <c r="J20" s="32"/>
      <c r="K20" s="33" t="s">
        <v>3</v>
      </c>
      <c r="L20" s="40"/>
    </row>
    <row r="21" ht="101.15000000000001" customHeight="1">
      <c r="A21" s="28">
        <f t="shared" si="0"/>
        <v>18</v>
      </c>
      <c r="B21" s="38" t="s">
        <v>90</v>
      </c>
      <c r="C21" s="29" t="s">
        <v>91</v>
      </c>
      <c r="D21" s="30" t="s">
        <v>19</v>
      </c>
      <c r="E21" s="29" t="s">
        <v>20</v>
      </c>
      <c r="F21" s="22"/>
      <c r="G21" s="22">
        <v>5.5</v>
      </c>
      <c r="H21" s="23" t="s">
        <v>92</v>
      </c>
      <c r="I21" s="37" t="s">
        <v>93</v>
      </c>
      <c r="J21" s="32" t="s">
        <v>94</v>
      </c>
      <c r="K21" s="33" t="s">
        <v>3</v>
      </c>
      <c r="L21" s="34" t="s">
        <v>95</v>
      </c>
    </row>
    <row r="22" ht="28.5">
      <c r="A22" s="28">
        <f t="shared" si="0"/>
        <v>19</v>
      </c>
      <c r="B22" s="38" t="s">
        <v>96</v>
      </c>
      <c r="C22" s="29" t="s">
        <v>97</v>
      </c>
      <c r="D22" s="30" t="s">
        <v>19</v>
      </c>
      <c r="E22" s="29" t="s">
        <v>33</v>
      </c>
      <c r="F22" s="22">
        <v>4.4500000000000002</v>
      </c>
      <c r="G22" s="22">
        <v>5.5</v>
      </c>
      <c r="H22" s="23" t="s">
        <v>98</v>
      </c>
      <c r="I22" s="31" t="s">
        <v>99</v>
      </c>
      <c r="J22" s="35" t="s">
        <v>100</v>
      </c>
      <c r="K22" s="33" t="s">
        <v>3</v>
      </c>
      <c r="L22" s="34"/>
    </row>
    <row r="23" ht="85.5">
      <c r="A23" s="28">
        <f t="shared" si="0"/>
        <v>20</v>
      </c>
      <c r="B23" s="38" t="s">
        <v>101</v>
      </c>
      <c r="C23" s="29" t="s">
        <v>66</v>
      </c>
      <c r="D23" s="30" t="s">
        <v>32</v>
      </c>
      <c r="E23" s="29" t="s">
        <v>33</v>
      </c>
      <c r="F23" s="22"/>
      <c r="G23" s="22">
        <v>5.5</v>
      </c>
      <c r="H23" s="23" t="s">
        <v>102</v>
      </c>
      <c r="I23" s="31" t="s">
        <v>103</v>
      </c>
      <c r="J23" s="35" t="s">
        <v>104</v>
      </c>
      <c r="K23" s="33" t="s">
        <v>3</v>
      </c>
      <c r="L23" s="34" t="s">
        <v>24</v>
      </c>
    </row>
    <row r="24" ht="71.25">
      <c r="A24" s="28">
        <f t="shared" si="0"/>
        <v>21</v>
      </c>
      <c r="B24" s="38" t="s">
        <v>105</v>
      </c>
      <c r="C24" s="29" t="s">
        <v>106</v>
      </c>
      <c r="D24" s="30" t="s">
        <v>19</v>
      </c>
      <c r="E24" s="29" t="s">
        <v>33</v>
      </c>
      <c r="F24" s="22">
        <v>5.5</v>
      </c>
      <c r="G24" s="22">
        <v>22</v>
      </c>
      <c r="H24" s="23" t="s">
        <v>107</v>
      </c>
      <c r="I24" s="31" t="s">
        <v>108</v>
      </c>
      <c r="J24" s="35" t="s">
        <v>109</v>
      </c>
      <c r="K24" s="33" t="s">
        <v>4</v>
      </c>
      <c r="L24" s="34"/>
    </row>
    <row r="25" ht="42.75">
      <c r="A25" s="28">
        <f t="shared" si="0"/>
        <v>22</v>
      </c>
      <c r="B25" s="38" t="s">
        <v>110</v>
      </c>
      <c r="C25" s="29" t="s">
        <v>111</v>
      </c>
      <c r="D25" s="30" t="s">
        <v>32</v>
      </c>
      <c r="E25" s="29" t="s">
        <v>20</v>
      </c>
      <c r="F25" s="22"/>
      <c r="G25" s="22">
        <v>5.5</v>
      </c>
      <c r="H25" s="23" t="s">
        <v>111</v>
      </c>
      <c r="I25" s="37" t="s">
        <v>112</v>
      </c>
      <c r="J25" s="35" t="s">
        <v>113</v>
      </c>
      <c r="K25" s="33" t="s">
        <v>3</v>
      </c>
      <c r="L25" s="34"/>
    </row>
    <row r="26" ht="28.5">
      <c r="A26" s="28">
        <f t="shared" si="0"/>
        <v>23</v>
      </c>
      <c r="B26" s="38" t="s">
        <v>114</v>
      </c>
      <c r="C26" s="29" t="s">
        <v>115</v>
      </c>
      <c r="D26" s="30" t="s">
        <v>19</v>
      </c>
      <c r="E26" s="29" t="s">
        <v>20</v>
      </c>
      <c r="F26" s="22"/>
      <c r="G26" s="22">
        <v>5.5</v>
      </c>
      <c r="H26" s="23" t="s">
        <v>116</v>
      </c>
      <c r="I26" s="37" t="s">
        <v>117</v>
      </c>
      <c r="J26" s="32"/>
      <c r="K26" s="33" t="s">
        <v>3</v>
      </c>
      <c r="L26" s="34"/>
    </row>
    <row r="27" ht="28.5">
      <c r="A27" s="28">
        <f t="shared" si="0"/>
        <v>24</v>
      </c>
      <c r="B27" s="38" t="s">
        <v>118</v>
      </c>
      <c r="C27" s="29" t="s">
        <v>119</v>
      </c>
      <c r="D27" s="30" t="s">
        <v>19</v>
      </c>
      <c r="E27" s="29" t="s">
        <v>20</v>
      </c>
      <c r="F27" s="22"/>
      <c r="G27" s="22">
        <v>5.5</v>
      </c>
      <c r="H27" s="23" t="s">
        <v>120</v>
      </c>
      <c r="I27" s="37" t="s">
        <v>121</v>
      </c>
      <c r="J27" s="32"/>
      <c r="K27" s="33" t="s">
        <v>3</v>
      </c>
      <c r="L27" s="34"/>
    </row>
    <row r="28" ht="15" customHeight="1">
      <c r="A28" s="28">
        <f t="shared" si="0"/>
        <v>25</v>
      </c>
      <c r="B28" s="38" t="s">
        <v>122</v>
      </c>
      <c r="C28" s="29" t="s">
        <v>123</v>
      </c>
      <c r="D28" s="36" t="s">
        <v>32</v>
      </c>
      <c r="E28" s="29" t="s">
        <v>20</v>
      </c>
      <c r="F28" s="22"/>
      <c r="G28" s="22">
        <v>5.5</v>
      </c>
      <c r="H28" s="23" t="s">
        <v>124</v>
      </c>
      <c r="I28" s="31" t="s">
        <v>125</v>
      </c>
      <c r="J28" s="32"/>
      <c r="K28" s="33" t="s">
        <v>3</v>
      </c>
      <c r="L28" s="41"/>
    </row>
    <row r="29" ht="15" customHeight="1">
      <c r="A29" s="28">
        <f t="shared" si="0"/>
        <v>26</v>
      </c>
      <c r="B29" s="38" t="s">
        <v>126</v>
      </c>
      <c r="C29" s="29" t="s">
        <v>127</v>
      </c>
      <c r="D29" s="36" t="s">
        <v>32</v>
      </c>
      <c r="E29" s="29" t="s">
        <v>20</v>
      </c>
      <c r="F29" s="22"/>
      <c r="G29" s="22">
        <v>5.5</v>
      </c>
      <c r="H29" s="23" t="s">
        <v>128</v>
      </c>
      <c r="I29" s="31" t="s">
        <v>125</v>
      </c>
      <c r="J29" s="32"/>
      <c r="K29" s="33" t="s">
        <v>3</v>
      </c>
      <c r="L29" s="34"/>
    </row>
    <row r="30" ht="15" customHeight="1">
      <c r="A30" s="28">
        <f t="shared" si="0"/>
        <v>27</v>
      </c>
      <c r="B30" s="22" t="s">
        <v>129</v>
      </c>
      <c r="C30" s="29" t="s">
        <v>130</v>
      </c>
      <c r="D30" s="36" t="s">
        <v>32</v>
      </c>
      <c r="E30" s="29" t="s">
        <v>20</v>
      </c>
      <c r="F30" s="22"/>
      <c r="G30" s="22">
        <v>5.5</v>
      </c>
      <c r="H30" s="23" t="s">
        <v>131</v>
      </c>
      <c r="I30" s="31" t="s">
        <v>125</v>
      </c>
      <c r="J30" s="32"/>
      <c r="K30" s="33" t="s">
        <v>3</v>
      </c>
      <c r="L30" s="34"/>
    </row>
    <row r="31" ht="42.75">
      <c r="A31" s="28">
        <f t="shared" si="0"/>
        <v>28</v>
      </c>
      <c r="B31" s="22" t="s">
        <v>132</v>
      </c>
      <c r="C31" s="29" t="s">
        <v>133</v>
      </c>
      <c r="D31" s="30" t="s">
        <v>19</v>
      </c>
      <c r="E31" s="29" t="s">
        <v>33</v>
      </c>
      <c r="F31" s="22"/>
      <c r="G31" s="22">
        <v>5.5</v>
      </c>
      <c r="H31" s="23" t="s">
        <v>134</v>
      </c>
      <c r="I31" s="31" t="s">
        <v>135</v>
      </c>
      <c r="J31" s="35" t="s">
        <v>136</v>
      </c>
      <c r="K31" s="33" t="s">
        <v>3</v>
      </c>
      <c r="L31" s="34"/>
    </row>
    <row r="32" ht="99.75">
      <c r="A32" s="28">
        <f t="shared" si="0"/>
        <v>29</v>
      </c>
      <c r="B32" s="38" t="s">
        <v>137</v>
      </c>
      <c r="C32" s="29" t="s">
        <v>138</v>
      </c>
      <c r="D32" s="36" t="s">
        <v>32</v>
      </c>
      <c r="E32" s="29" t="s">
        <v>33</v>
      </c>
      <c r="F32" s="22"/>
      <c r="G32" s="22">
        <v>5.5</v>
      </c>
      <c r="H32" s="23" t="s">
        <v>139</v>
      </c>
      <c r="I32" s="31" t="s">
        <v>140</v>
      </c>
      <c r="J32" s="35" t="s">
        <v>141</v>
      </c>
      <c r="K32" s="33" t="s">
        <v>3</v>
      </c>
      <c r="L32" s="34" t="s">
        <v>24</v>
      </c>
    </row>
    <row r="33" ht="42.75">
      <c r="A33" s="28">
        <f t="shared" si="0"/>
        <v>30</v>
      </c>
      <c r="B33" s="22" t="s">
        <v>62</v>
      </c>
      <c r="C33" s="29" t="s">
        <v>142</v>
      </c>
      <c r="D33" s="30" t="s">
        <v>19</v>
      </c>
      <c r="E33" s="29" t="s">
        <v>33</v>
      </c>
      <c r="F33" s="22"/>
      <c r="G33" s="22">
        <v>5.5</v>
      </c>
      <c r="H33" s="23" t="s">
        <v>143</v>
      </c>
      <c r="I33" s="31" t="s">
        <v>144</v>
      </c>
      <c r="J33" s="35" t="s">
        <v>136</v>
      </c>
      <c r="K33" s="33" t="s">
        <v>3</v>
      </c>
      <c r="L33" s="34"/>
    </row>
    <row r="34" ht="99.75">
      <c r="A34" s="28">
        <f t="shared" si="0"/>
        <v>31</v>
      </c>
      <c r="B34" s="22" t="s">
        <v>145</v>
      </c>
      <c r="C34" s="29" t="s">
        <v>146</v>
      </c>
      <c r="D34" s="36" t="s">
        <v>32</v>
      </c>
      <c r="E34" s="29" t="s">
        <v>33</v>
      </c>
      <c r="F34" s="22"/>
      <c r="G34" s="22">
        <v>5.5</v>
      </c>
      <c r="H34" s="23" t="s">
        <v>147</v>
      </c>
      <c r="I34" s="31" t="s">
        <v>140</v>
      </c>
      <c r="J34" s="35" t="s">
        <v>141</v>
      </c>
      <c r="K34" s="33" t="s">
        <v>3</v>
      </c>
      <c r="L34" s="34" t="s">
        <v>24</v>
      </c>
    </row>
    <row r="35" ht="102.75" customHeight="1">
      <c r="A35" s="28">
        <f t="shared" si="0"/>
        <v>32</v>
      </c>
      <c r="B35" s="22" t="s">
        <v>148</v>
      </c>
      <c r="C35" s="29" t="s">
        <v>149</v>
      </c>
      <c r="D35" s="36" t="s">
        <v>19</v>
      </c>
      <c r="E35" s="29" t="s">
        <v>20</v>
      </c>
      <c r="F35" s="29"/>
      <c r="G35" s="22">
        <v>5.5</v>
      </c>
      <c r="H35" s="23" t="s">
        <v>150</v>
      </c>
      <c r="I35" s="37" t="s">
        <v>151</v>
      </c>
      <c r="J35" s="35" t="s">
        <v>23</v>
      </c>
      <c r="K35" s="33" t="s">
        <v>3</v>
      </c>
      <c r="L35" s="34"/>
    </row>
    <row r="36">
      <c r="A36" s="28" t="s">
        <v>152</v>
      </c>
      <c r="B36" s="22" t="s">
        <v>153</v>
      </c>
      <c r="C36" s="29" t="s">
        <v>154</v>
      </c>
      <c r="D36" s="36"/>
      <c r="E36" s="29" t="s">
        <v>27</v>
      </c>
      <c r="F36" s="29">
        <v>0</v>
      </c>
      <c r="G36" s="29">
        <v>0</v>
      </c>
      <c r="H36" s="42" t="s">
        <v>155</v>
      </c>
      <c r="I36" s="37" t="s">
        <v>156</v>
      </c>
      <c r="J36" s="32"/>
      <c r="K36" s="33" t="s">
        <v>3</v>
      </c>
      <c r="L36" s="34"/>
    </row>
  </sheetData>
  <autoFilter ref="A3:J36">
    <sortState ref="A4:J36">
      <sortCondition ref="B3:B36"/>
    </sortState>
  </autoFilter>
  <printOptions headings="0" gridLines="0"/>
  <pageMargins left="0.69999999999999996" right="0.69999999999999996" top="0.75" bottom="0.75" header="0.29999999999999999" footer="0.29999999999999999"/>
  <pageSetup paperSize="9" scale="55" fitToWidth="0" fitToHeight="1" pageOrder="downThenOver" orientation="landscape" usePrinterDefaults="1" blackAndWhite="0" draft="0" cellComments="none" useFirstPageNumber="0" errors="displayed" horizontalDpi="600" verticalDpi="600" copies="1"/>
  <headerFooter/>
  <drawing r:id="rId1"/>
  <extLst>
    <ext xmlns:x14="http://schemas.microsoft.com/office/spreadsheetml/2009/9/main" uri="{78C0D931-6437-407d-A8EE-F0AAD7539E65}">
      <x14:conditionalFormattings>
        <x14:conditionalFormatting xmlns:xm="http://schemas.microsoft.com/office/excel/2006/main">
          <x14:cfRule type="cellIs" priority="1" operator="equal" id="{00F700CC-00C4-4071-94C2-0052001F00D3}">
            <xm:f>"NOK"</xm:f>
            <x14:dxf>
              <fill>
                <patternFill patternType="solid">
                  <fgColor theme="5" tint="-0.24994659260841701"/>
                  <bgColor theme="5" tint="-0.24994659260841701"/>
                </patternFill>
              </fill>
            </x14:dxf>
          </x14:cfRule>
          <xm:sqref>K4:K9 K11:K36 L10</xm:sqref>
        </x14:conditionalFormatting>
        <x14:conditionalFormatting xmlns:xm="http://schemas.microsoft.com/office/excel/2006/main">
          <x14:cfRule type="cellIs" priority="2" operator="equal" id="{00AC004A-00F8-4C44-890A-000600820036}">
            <xm:f>"OK"</xm:f>
            <x14:dxf>
              <fill>
                <patternFill patternType="solid">
                  <fgColor theme="9" tint="0.39994506668294322"/>
                  <bgColor theme="9" tint="0.39994506668294322"/>
                </patternFill>
              </fill>
              <border>
                <left style="none"/>
                <right style="none"/>
                <top style="none"/>
                <bottom style="none"/>
                <diagonal style="none"/>
                <vertical style="none"/>
                <horizontal style="none"/>
              </border>
            </x14:dxf>
          </x14:cfRule>
          <xm:sqref>K4:K9 K11:K36 L10</xm:sqref>
        </x14:conditionalFormatting>
        <x14:conditionalFormatting xmlns:xm="http://schemas.microsoft.com/office/excel/2006/main">
          <x14:cfRule type="cellIs" priority="1" operator="equal" id="{0024004A-0089-4D9A-BF20-00F9003C00CA}">
            <xm:f>"NOK"</xm:f>
            <x14:dxf>
              <fill>
                <patternFill patternType="solid">
                  <fgColor theme="5" tint="-0.24994659260841701"/>
                  <bgColor theme="5" tint="-0.24994659260841701"/>
                </patternFill>
              </fill>
            </x14:dxf>
          </x14:cfRule>
          <xm:sqref>K10</xm:sqref>
        </x14:conditionalFormatting>
        <x14:conditionalFormatting xmlns:xm="http://schemas.microsoft.com/office/excel/2006/main">
          <x14:cfRule type="cellIs" priority="2" operator="equal" id="{00540086-00A2-4981-A2B9-00D300BA0017}">
            <xm:f>"OK"</xm:f>
            <x14:dxf>
              <fill>
                <patternFill patternType="solid">
                  <fgColor theme="9" tint="0.39994506668294322"/>
                  <bgColor theme="9" tint="0.39994506668294322"/>
                </patternFill>
              </fill>
              <border>
                <left style="none"/>
                <right style="none"/>
                <top style="none"/>
                <bottom style="none"/>
                <diagonal style="none"/>
                <vertical style="none"/>
                <horizontal style="none"/>
              </border>
            </x14:dxf>
          </x14:cfRule>
          <xm:sqref>K10</xm:sqref>
        </x14:conditionalFormatting>
      </x14:conditionalFormattings>
    </ext>
    <ext xmlns:x14="http://schemas.microsoft.com/office/spreadsheetml/2009/9/main" uri="{CCE6A557-97BC-4b89-ADB6-D9C93CAAB3DF}">
      <x14:dataValidations xmlns:xm="http://schemas.microsoft.com/office/excel/2006/main" count="2" disablePrompts="0">
        <x14:dataValidation xr:uid="{00D3002A-00A6-419D-8BE6-00DA00D900C1}" type="list" allowBlank="1" errorStyle="stop" imeMode="noControl" operator="between" showDropDown="0" showErrorMessage="1" showInputMessage="1">
          <x14:formula1>
            <xm:f>$K$1:$K$2</xm:f>
          </x14:formula1>
          <xm:sqref>K4:K9 K11:K36 L10</xm:sqref>
        </x14:dataValidation>
        <x14:dataValidation xr:uid="{00F2001A-000E-4028-9C3B-00C300300029}" type="list" allowBlank="1" errorStyle="stop" imeMode="noControl" operator="between" showDropDown="0" showErrorMessage="1" showInputMessage="1">
          <x14:formula1>
            <xm:f>$K$1:$K$2</xm:f>
          </x14:formula1>
          <xm:sqref>K10</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zoomScale="100" workbookViewId="0">
      <pane ySplit="3" topLeftCell="A4" activePane="bottomLeft" state="frozen"/>
      <selection activeCell="H8" activeCellId="0" sqref="H8"/>
    </sheetView>
  </sheetViews>
  <sheetFormatPr defaultColWidth="8.81640625" defaultRowHeight="14.5"/>
  <cols>
    <col customWidth="1" min="1" max="1" style="1" width="12.26953125"/>
    <col customWidth="1" min="2" max="2" style="2" width="12.54296875"/>
    <col customWidth="1" min="3" max="3" style="1" width="17.81640625"/>
    <col customWidth="1" min="4" max="4" style="1" width="61.81640625"/>
    <col customWidth="1" min="5" max="5" style="4" width="61"/>
    <col customWidth="1" min="6" max="6" style="1" width="77.81640625"/>
    <col customWidth="1" min="7" max="7" style="1" width="9"/>
    <col bestFit="1" customWidth="1" min="8" max="8" width="89.54296875"/>
  </cols>
  <sheetData>
    <row r="1" ht="18.649999999999999" customHeight="1">
      <c r="A1" s="1" t="s">
        <v>157</v>
      </c>
      <c r="B1" s="5"/>
      <c r="C1" s="1" t="s">
        <v>2</v>
      </c>
      <c r="G1" s="6" t="s">
        <v>3</v>
      </c>
    </row>
    <row r="2" ht="15">
      <c r="B2" s="7"/>
      <c r="E2" s="8"/>
      <c r="F2" s="9"/>
      <c r="G2" s="6" t="s">
        <v>4</v>
      </c>
    </row>
    <row r="3" ht="15" customHeight="1">
      <c r="A3" s="43" t="s">
        <v>5</v>
      </c>
      <c r="B3" s="44" t="s">
        <v>6</v>
      </c>
      <c r="C3" s="12" t="s">
        <v>7</v>
      </c>
      <c r="D3" s="13" t="s">
        <v>12</v>
      </c>
      <c r="E3" s="14" t="s">
        <v>158</v>
      </c>
      <c r="F3" s="15" t="s">
        <v>159</v>
      </c>
      <c r="G3" s="16" t="s">
        <v>15</v>
      </c>
      <c r="H3" s="17" t="s">
        <v>16</v>
      </c>
    </row>
    <row r="4" ht="43.5">
      <c r="A4" s="18">
        <v>1</v>
      </c>
      <c r="B4" s="19" t="s">
        <v>17</v>
      </c>
      <c r="C4" s="20" t="s">
        <v>18</v>
      </c>
      <c r="D4" s="23" t="s">
        <v>21</v>
      </c>
      <c r="E4" s="24" t="s">
        <v>160</v>
      </c>
      <c r="F4" s="25" t="s">
        <v>161</v>
      </c>
      <c r="G4" s="26"/>
      <c r="H4" s="27"/>
    </row>
    <row r="5" ht="43.5">
      <c r="A5" s="28">
        <f t="shared" ref="A5:A35" si="1">A4+1</f>
        <v>2</v>
      </c>
      <c r="B5" s="22" t="s">
        <v>25</v>
      </c>
      <c r="C5" s="29" t="s">
        <v>26</v>
      </c>
      <c r="D5" s="23" t="s">
        <v>28</v>
      </c>
      <c r="E5" s="37" t="s">
        <v>162</v>
      </c>
      <c r="F5" s="32" t="s">
        <v>163</v>
      </c>
      <c r="G5" s="33"/>
      <c r="H5" s="34"/>
    </row>
    <row r="6" ht="43.5">
      <c r="A6" s="28">
        <f t="shared" si="1"/>
        <v>3</v>
      </c>
      <c r="B6" s="22" t="s">
        <v>30</v>
      </c>
      <c r="C6" s="29" t="s">
        <v>31</v>
      </c>
      <c r="D6" s="23" t="s">
        <v>34</v>
      </c>
      <c r="E6" s="37" t="s">
        <v>164</v>
      </c>
      <c r="F6" s="32" t="s">
        <v>163</v>
      </c>
      <c r="G6" s="33"/>
      <c r="H6" s="34"/>
    </row>
    <row r="7" ht="43.5">
      <c r="A7" s="28">
        <f t="shared" si="1"/>
        <v>4</v>
      </c>
      <c r="B7" s="22" t="s">
        <v>37</v>
      </c>
      <c r="C7" s="29" t="s">
        <v>38</v>
      </c>
      <c r="D7" s="23" t="s">
        <v>39</v>
      </c>
      <c r="E7" s="37" t="s">
        <v>165</v>
      </c>
      <c r="F7" s="32" t="s">
        <v>166</v>
      </c>
      <c r="G7" s="33"/>
      <c r="H7" s="34"/>
    </row>
    <row r="8" ht="43.5">
      <c r="A8" s="28">
        <f t="shared" si="1"/>
        <v>5</v>
      </c>
      <c r="B8" s="22" t="s">
        <v>42</v>
      </c>
      <c r="C8" s="29" t="s">
        <v>43</v>
      </c>
      <c r="D8" s="23" t="s">
        <v>44</v>
      </c>
      <c r="E8" s="37" t="s">
        <v>164</v>
      </c>
      <c r="F8" s="32" t="s">
        <v>163</v>
      </c>
      <c r="G8" s="33"/>
      <c r="H8" s="34"/>
    </row>
    <row r="9" ht="43.5">
      <c r="A9" s="28">
        <f t="shared" si="1"/>
        <v>6</v>
      </c>
      <c r="B9" s="38" t="s">
        <v>46</v>
      </c>
      <c r="C9" s="29" t="s">
        <v>47</v>
      </c>
      <c r="D9" s="23" t="s">
        <v>48</v>
      </c>
      <c r="E9" s="37" t="s">
        <v>167</v>
      </c>
      <c r="F9" s="32" t="s">
        <v>163</v>
      </c>
      <c r="G9" s="33"/>
      <c r="H9" s="34"/>
    </row>
    <row r="10">
      <c r="A10" s="28">
        <f t="shared" si="1"/>
        <v>7</v>
      </c>
      <c r="B10" s="38" t="s">
        <v>49</v>
      </c>
      <c r="C10" s="29" t="s">
        <v>50</v>
      </c>
      <c r="D10" s="23" t="s">
        <v>54</v>
      </c>
      <c r="E10" s="31"/>
      <c r="F10" s="32" t="s">
        <v>168</v>
      </c>
      <c r="G10" s="33"/>
      <c r="H10" s="34"/>
    </row>
    <row r="11">
      <c r="A11" s="28">
        <f t="shared" si="1"/>
        <v>8</v>
      </c>
      <c r="B11" s="38" t="s">
        <v>56</v>
      </c>
      <c r="C11" s="29" t="s">
        <v>57</v>
      </c>
      <c r="D11" s="23" t="s">
        <v>54</v>
      </c>
      <c r="E11" s="31"/>
      <c r="F11" s="32" t="s">
        <v>168</v>
      </c>
      <c r="G11" s="33"/>
      <c r="H11" s="34"/>
    </row>
    <row r="12">
      <c r="A12" s="28">
        <f t="shared" si="1"/>
        <v>9</v>
      </c>
      <c r="B12" s="38" t="s">
        <v>58</v>
      </c>
      <c r="C12" s="29" t="s">
        <v>59</v>
      </c>
      <c r="D12" s="23" t="s">
        <v>54</v>
      </c>
      <c r="E12" s="31"/>
      <c r="F12" s="32" t="s">
        <v>168</v>
      </c>
      <c r="G12" s="33"/>
      <c r="H12" s="34"/>
    </row>
    <row r="13">
      <c r="A13" s="28">
        <f t="shared" si="1"/>
        <v>10</v>
      </c>
      <c r="B13" s="38" t="s">
        <v>60</v>
      </c>
      <c r="C13" s="29" t="s">
        <v>61</v>
      </c>
      <c r="D13" s="23" t="s">
        <v>54</v>
      </c>
      <c r="E13" s="31"/>
      <c r="F13" s="32" t="s">
        <v>168</v>
      </c>
      <c r="G13" s="33"/>
      <c r="H13" s="39"/>
    </row>
    <row r="14">
      <c r="A14" s="28">
        <f t="shared" si="1"/>
        <v>11</v>
      </c>
      <c r="B14" s="38" t="s">
        <v>62</v>
      </c>
      <c r="C14" s="29" t="s">
        <v>63</v>
      </c>
      <c r="D14" s="23" t="s">
        <v>54</v>
      </c>
      <c r="E14" s="31"/>
      <c r="F14" s="32" t="s">
        <v>168</v>
      </c>
      <c r="G14" s="33"/>
      <c r="H14" s="39"/>
    </row>
    <row r="15">
      <c r="A15" s="28">
        <f t="shared" si="1"/>
        <v>12</v>
      </c>
      <c r="B15" s="38" t="s">
        <v>64</v>
      </c>
      <c r="C15" s="29" t="s">
        <v>65</v>
      </c>
      <c r="D15" s="23" t="s">
        <v>67</v>
      </c>
      <c r="E15" s="31" t="s">
        <v>169</v>
      </c>
      <c r="F15" s="35" t="s">
        <v>168</v>
      </c>
      <c r="G15" s="33"/>
      <c r="H15" s="34"/>
    </row>
    <row r="16">
      <c r="A16" s="28">
        <f t="shared" si="1"/>
        <v>13</v>
      </c>
      <c r="B16" s="38" t="s">
        <v>70</v>
      </c>
      <c r="C16" s="29" t="s">
        <v>71</v>
      </c>
      <c r="D16" s="23" t="s">
        <v>72</v>
      </c>
      <c r="E16" s="31" t="s">
        <v>170</v>
      </c>
      <c r="F16" s="32" t="s">
        <v>168</v>
      </c>
      <c r="G16" s="33"/>
      <c r="H16" s="34"/>
    </row>
    <row r="17">
      <c r="A17" s="28">
        <f t="shared" si="1"/>
        <v>14</v>
      </c>
      <c r="B17" s="38" t="s">
        <v>75</v>
      </c>
      <c r="C17" s="29" t="s">
        <v>76</v>
      </c>
      <c r="D17" s="23" t="s">
        <v>77</v>
      </c>
      <c r="E17" s="31" t="s">
        <v>170</v>
      </c>
      <c r="F17" s="32" t="s">
        <v>168</v>
      </c>
      <c r="G17" s="33"/>
      <c r="H17" s="34"/>
    </row>
    <row r="18">
      <c r="A18" s="28">
        <f t="shared" si="1"/>
        <v>15</v>
      </c>
      <c r="B18" s="38" t="s">
        <v>78</v>
      </c>
      <c r="C18" s="29" t="s">
        <v>79</v>
      </c>
      <c r="D18" s="23" t="s">
        <v>80</v>
      </c>
      <c r="E18" s="37"/>
      <c r="F18" s="32" t="s">
        <v>168</v>
      </c>
      <c r="G18" s="33"/>
      <c r="H18" s="34"/>
    </row>
    <row r="19">
      <c r="A19" s="28">
        <f t="shared" si="1"/>
        <v>16</v>
      </c>
      <c r="B19" s="38" t="s">
        <v>82</v>
      </c>
      <c r="C19" s="29" t="s">
        <v>83</v>
      </c>
      <c r="D19" s="23" t="s">
        <v>88</v>
      </c>
      <c r="E19" s="37"/>
      <c r="F19" s="32" t="s">
        <v>171</v>
      </c>
      <c r="G19" s="33"/>
      <c r="H19" s="34"/>
    </row>
    <row r="20">
      <c r="A20" s="28">
        <f t="shared" si="1"/>
        <v>17</v>
      </c>
      <c r="B20" s="38" t="s">
        <v>86</v>
      </c>
      <c r="C20" s="29" t="s">
        <v>87</v>
      </c>
      <c r="D20" s="23" t="s">
        <v>84</v>
      </c>
      <c r="E20" s="37"/>
      <c r="F20" s="32" t="s">
        <v>171</v>
      </c>
      <c r="G20" s="33"/>
      <c r="H20" s="40"/>
    </row>
    <row r="21">
      <c r="A21" s="28">
        <f t="shared" si="1"/>
        <v>18</v>
      </c>
      <c r="B21" s="38" t="s">
        <v>90</v>
      </c>
      <c r="C21" s="29" t="s">
        <v>91</v>
      </c>
      <c r="D21" s="23" t="s">
        <v>92</v>
      </c>
      <c r="E21" s="37"/>
      <c r="F21" s="32" t="s">
        <v>171</v>
      </c>
      <c r="G21" s="33"/>
      <c r="H21" s="34"/>
    </row>
    <row r="22" ht="43.5">
      <c r="A22" s="28">
        <f t="shared" si="1"/>
        <v>19</v>
      </c>
      <c r="B22" s="38" t="s">
        <v>96</v>
      </c>
      <c r="C22" s="29" t="s">
        <v>97</v>
      </c>
      <c r="D22" s="23" t="s">
        <v>98</v>
      </c>
      <c r="E22" s="37" t="s">
        <v>172</v>
      </c>
      <c r="F22" s="35" t="s">
        <v>173</v>
      </c>
      <c r="G22" s="33"/>
      <c r="H22" s="34"/>
    </row>
    <row r="23" ht="43.5">
      <c r="A23" s="28">
        <f t="shared" si="1"/>
        <v>20</v>
      </c>
      <c r="B23" s="38" t="s">
        <v>101</v>
      </c>
      <c r="C23" s="29" t="s">
        <v>66</v>
      </c>
      <c r="D23" s="23" t="s">
        <v>102</v>
      </c>
      <c r="E23" s="37" t="s">
        <v>174</v>
      </c>
      <c r="F23" s="35" t="s">
        <v>175</v>
      </c>
      <c r="G23" s="33"/>
      <c r="H23" s="34"/>
    </row>
    <row r="24" ht="43.5">
      <c r="A24" s="28">
        <f t="shared" si="1"/>
        <v>21</v>
      </c>
      <c r="B24" s="38" t="s">
        <v>105</v>
      </c>
      <c r="C24" s="29" t="s">
        <v>106</v>
      </c>
      <c r="D24" s="23" t="s">
        <v>107</v>
      </c>
      <c r="E24" s="37" t="s">
        <v>176</v>
      </c>
      <c r="F24" s="35" t="s">
        <v>175</v>
      </c>
      <c r="G24" s="33"/>
      <c r="H24" s="34"/>
    </row>
    <row r="25" ht="29">
      <c r="A25" s="28">
        <f t="shared" si="1"/>
        <v>22</v>
      </c>
      <c r="B25" s="38" t="s">
        <v>110</v>
      </c>
      <c r="C25" s="29" t="s">
        <v>111</v>
      </c>
      <c r="D25" s="23" t="s">
        <v>111</v>
      </c>
      <c r="E25" s="37" t="s">
        <v>177</v>
      </c>
      <c r="F25" s="35" t="s">
        <v>178</v>
      </c>
      <c r="G25" s="33"/>
      <c r="H25" s="34"/>
    </row>
    <row r="26">
      <c r="A26" s="28">
        <f t="shared" si="1"/>
        <v>23</v>
      </c>
      <c r="B26" s="38" t="s">
        <v>114</v>
      </c>
      <c r="C26" s="29" t="s">
        <v>115</v>
      </c>
      <c r="D26" s="23" t="s">
        <v>116</v>
      </c>
      <c r="E26" s="37"/>
      <c r="F26" s="32" t="s">
        <v>168</v>
      </c>
      <c r="G26" s="33"/>
      <c r="H26" s="34"/>
    </row>
    <row r="27">
      <c r="A27" s="28">
        <f t="shared" si="1"/>
        <v>24</v>
      </c>
      <c r="B27" s="38" t="s">
        <v>118</v>
      </c>
      <c r="C27" s="29" t="s">
        <v>119</v>
      </c>
      <c r="D27" s="23" t="s">
        <v>120</v>
      </c>
      <c r="E27" s="37"/>
      <c r="F27" s="32" t="s">
        <v>168</v>
      </c>
      <c r="G27" s="33"/>
      <c r="H27" s="34"/>
    </row>
    <row r="28">
      <c r="A28" s="28">
        <f t="shared" si="1"/>
        <v>25</v>
      </c>
      <c r="B28" s="38" t="s">
        <v>122</v>
      </c>
      <c r="C28" s="29" t="s">
        <v>123</v>
      </c>
      <c r="D28" s="23" t="s">
        <v>124</v>
      </c>
      <c r="E28" s="31"/>
      <c r="F28" s="32" t="s">
        <v>179</v>
      </c>
      <c r="G28" s="33"/>
      <c r="H28" s="41"/>
    </row>
    <row r="29">
      <c r="A29" s="28">
        <f t="shared" si="1"/>
        <v>26</v>
      </c>
      <c r="B29" s="38" t="s">
        <v>126</v>
      </c>
      <c r="C29" s="29" t="s">
        <v>127</v>
      </c>
      <c r="D29" s="23" t="s">
        <v>128</v>
      </c>
      <c r="E29" s="31"/>
      <c r="F29" s="32" t="s">
        <v>179</v>
      </c>
      <c r="G29" s="33"/>
      <c r="H29" s="34"/>
    </row>
    <row r="30">
      <c r="A30" s="28">
        <f t="shared" si="1"/>
        <v>27</v>
      </c>
      <c r="B30" s="22" t="s">
        <v>129</v>
      </c>
      <c r="C30" s="29" t="s">
        <v>130</v>
      </c>
      <c r="D30" s="23" t="s">
        <v>131</v>
      </c>
      <c r="E30" s="31"/>
      <c r="F30" s="32" t="s">
        <v>179</v>
      </c>
      <c r="G30" s="33"/>
      <c r="H30" s="34"/>
    </row>
    <row r="31">
      <c r="A31" s="28">
        <f t="shared" si="1"/>
        <v>28</v>
      </c>
      <c r="B31" s="22" t="s">
        <v>132</v>
      </c>
      <c r="C31" s="29" t="s">
        <v>133</v>
      </c>
      <c r="D31" s="23" t="s">
        <v>134</v>
      </c>
      <c r="E31" s="31" t="s">
        <v>180</v>
      </c>
      <c r="F31" s="35" t="s">
        <v>181</v>
      </c>
      <c r="G31" s="33"/>
      <c r="H31" s="34"/>
    </row>
    <row r="32">
      <c r="A32" s="28">
        <f t="shared" si="1"/>
        <v>29</v>
      </c>
      <c r="B32" s="38" t="s">
        <v>137</v>
      </c>
      <c r="C32" s="29" t="s">
        <v>138</v>
      </c>
      <c r="D32" s="23" t="s">
        <v>139</v>
      </c>
      <c r="E32" s="31" t="s">
        <v>182</v>
      </c>
      <c r="F32" s="35" t="s">
        <v>181</v>
      </c>
      <c r="G32" s="33"/>
      <c r="H32" s="34"/>
    </row>
    <row r="33">
      <c r="A33" s="28">
        <f t="shared" si="1"/>
        <v>30</v>
      </c>
      <c r="B33" s="22" t="s">
        <v>62</v>
      </c>
      <c r="C33" s="29" t="s">
        <v>142</v>
      </c>
      <c r="D33" s="23" t="s">
        <v>143</v>
      </c>
      <c r="E33" s="31" t="s">
        <v>180</v>
      </c>
      <c r="F33" s="35" t="s">
        <v>181</v>
      </c>
      <c r="G33" s="33"/>
      <c r="H33" s="34"/>
    </row>
    <row r="34">
      <c r="A34" s="28">
        <f t="shared" si="1"/>
        <v>31</v>
      </c>
      <c r="B34" s="22" t="s">
        <v>145</v>
      </c>
      <c r="C34" s="29" t="s">
        <v>146</v>
      </c>
      <c r="D34" s="23" t="s">
        <v>147</v>
      </c>
      <c r="E34" s="31" t="s">
        <v>182</v>
      </c>
      <c r="F34" s="35" t="s">
        <v>181</v>
      </c>
      <c r="G34" s="33"/>
      <c r="H34" s="34"/>
    </row>
    <row r="35" ht="43.5">
      <c r="A35" s="28">
        <f t="shared" si="1"/>
        <v>32</v>
      </c>
      <c r="B35" s="22" t="s">
        <v>148</v>
      </c>
      <c r="C35" s="29" t="s">
        <v>149</v>
      </c>
      <c r="D35" s="23" t="s">
        <v>150</v>
      </c>
      <c r="E35" s="37" t="s">
        <v>183</v>
      </c>
      <c r="F35" s="35" t="s">
        <v>184</v>
      </c>
      <c r="G35" s="33"/>
      <c r="H35" s="34"/>
    </row>
    <row r="36" ht="29">
      <c r="A36" s="28" t="s">
        <v>152</v>
      </c>
      <c r="B36" s="22" t="s">
        <v>153</v>
      </c>
      <c r="C36" s="29" t="s">
        <v>154</v>
      </c>
      <c r="D36" s="42" t="s">
        <v>155</v>
      </c>
      <c r="E36" s="37" t="s">
        <v>185</v>
      </c>
      <c r="F36" s="32" t="s">
        <v>168</v>
      </c>
      <c r="G36" s="33"/>
      <c r="H36" s="34"/>
    </row>
  </sheetData>
  <autoFilter ref="A3:F36">
    <sortState ref="A4:F36">
      <sortCondition ref="B3:B36"/>
    </sortState>
  </autoFilter>
  <printOptions headings="0" gridLines="0"/>
  <pageMargins left="0.69999999999999996" right="0.69999999999999996" top="0.75" bottom="0.75" header="0.29999999999999999" footer="0.29999999999999999"/>
  <pageSetup paperSize="9" scale="55" fitToWidth="0" fitToHeight="1" pageOrder="downThenOver" orientation="landscape"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ellIs" priority="1" operator="equal" id="{00B40008-0036-439D-8CCA-00EC0013004A}">
            <xm:f>"NOK"</xm:f>
            <x14:dxf>
              <fill>
                <patternFill patternType="solid">
                  <fgColor theme="5" tint="-0.24994659260841701"/>
                  <bgColor theme="5" tint="-0.24994659260841701"/>
                </patternFill>
              </fill>
            </x14:dxf>
          </x14:cfRule>
          <xm:sqref>G4:G36</xm:sqref>
        </x14:conditionalFormatting>
        <x14:conditionalFormatting xmlns:xm="http://schemas.microsoft.com/office/excel/2006/main">
          <x14:cfRule type="cellIs" priority="2" operator="equal" id="{003F00C7-0005-4C7D-9756-007F00DB00F1}">
            <xm:f>"OK"</xm:f>
            <x14:dxf>
              <fill>
                <patternFill patternType="solid">
                  <fgColor theme="9" tint="0.39994506668294322"/>
                  <bgColor theme="9" tint="0.39994506668294322"/>
                </patternFill>
              </fill>
              <border>
                <left style="none"/>
                <right style="none"/>
                <top style="none"/>
                <bottom style="none"/>
                <diagonal style="none"/>
                <vertical style="none"/>
                <horizontal style="none"/>
              </border>
            </x14:dxf>
          </x14:cfRule>
          <xm:sqref>G4:G36</xm:sqref>
        </x14:conditionalFormatting>
      </x14:conditionalFormattings>
    </ext>
    <ext xmlns:x14="http://schemas.microsoft.com/office/spreadsheetml/2009/9/main" uri="{CCE6A557-97BC-4b89-ADB6-D9C93CAAB3DF}">
      <x14:dataValidations xmlns:xm="http://schemas.microsoft.com/office/excel/2006/main" count="1" disablePrompts="0">
        <x14:dataValidation xr:uid="{0070004F-009C-4E47-AFDD-007200A100DE}" type="list" allowBlank="1" errorStyle="stop" imeMode="noControl" operator="between" showDropDown="0" showErrorMessage="1" showInputMessage="1">
          <x14:formula1>
            <xm:f>$G$1:$G$2</xm:f>
          </x14:formula1>
          <xm:sqref>G4:G36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34" activeCellId="0" sqref="A34"/>
    </sheetView>
  </sheetViews>
  <sheetFormatPr defaultRowHeight="14.5"/>
  <cols>
    <col customWidth="1" min="1" max="1" width="37.81640625"/>
    <col customWidth="1" min="2" max="2" width="119.1796875"/>
    <col customWidth="1" min="3" max="3" width="12.1796875"/>
    <col customWidth="1" min="4" max="4" width="82.453125"/>
  </cols>
  <sheetData>
    <row r="1">
      <c r="C1" s="6" t="s">
        <v>3</v>
      </c>
    </row>
    <row r="2" ht="15">
      <c r="C2" s="6" t="s">
        <v>4</v>
      </c>
    </row>
    <row r="3" ht="15">
      <c r="A3" s="45" t="s">
        <v>186</v>
      </c>
      <c r="B3" s="46" t="s">
        <v>187</v>
      </c>
      <c r="C3" s="16" t="s">
        <v>15</v>
      </c>
      <c r="D3" s="16" t="s">
        <v>16</v>
      </c>
    </row>
    <row r="4">
      <c r="A4" s="47" t="s">
        <v>188</v>
      </c>
      <c r="B4" s="47" t="s">
        <v>189</v>
      </c>
      <c r="C4" s="48"/>
      <c r="D4" s="47"/>
    </row>
    <row r="5">
      <c r="A5" s="49" t="s">
        <v>188</v>
      </c>
      <c r="B5" s="49" t="s">
        <v>190</v>
      </c>
      <c r="C5" s="50"/>
      <c r="D5" s="49"/>
    </row>
    <row r="6">
      <c r="A6" s="49" t="s">
        <v>191</v>
      </c>
      <c r="B6" s="49" t="s">
        <v>192</v>
      </c>
      <c r="C6" s="50"/>
      <c r="D6" s="49"/>
    </row>
    <row r="7">
      <c r="A7" s="49" t="s">
        <v>191</v>
      </c>
      <c r="B7" s="49" t="s">
        <v>193</v>
      </c>
      <c r="C7" s="50"/>
      <c r="D7" s="49"/>
    </row>
    <row r="8">
      <c r="A8" s="49" t="s">
        <v>194</v>
      </c>
      <c r="B8" s="49" t="s">
        <v>195</v>
      </c>
      <c r="C8" s="50"/>
      <c r="D8" s="51"/>
    </row>
    <row r="9">
      <c r="A9" s="49" t="s">
        <v>196</v>
      </c>
      <c r="B9" s="49" t="s">
        <v>197</v>
      </c>
      <c r="C9" s="50"/>
      <c r="D9" s="49"/>
    </row>
    <row r="10">
      <c r="A10" s="49" t="s">
        <v>198</v>
      </c>
      <c r="B10" s="49" t="s">
        <v>199</v>
      </c>
      <c r="C10" s="50"/>
      <c r="D10" s="49"/>
    </row>
    <row r="11">
      <c r="A11" s="49" t="s">
        <v>200</v>
      </c>
      <c r="B11" s="49" t="s">
        <v>201</v>
      </c>
      <c r="C11" s="50"/>
      <c r="D11" s="49"/>
    </row>
    <row r="12">
      <c r="A12" s="49" t="s">
        <v>200</v>
      </c>
      <c r="B12" s="49" t="s">
        <v>202</v>
      </c>
      <c r="C12" s="50"/>
      <c r="D12" s="51"/>
    </row>
    <row r="13" ht="29">
      <c r="A13" s="49" t="s">
        <v>200</v>
      </c>
      <c r="B13" s="52" t="s">
        <v>203</v>
      </c>
      <c r="C13" s="50"/>
      <c r="D13" s="51"/>
    </row>
    <row r="14">
      <c r="A14" s="49" t="s">
        <v>200</v>
      </c>
      <c r="B14" s="49" t="s">
        <v>204</v>
      </c>
      <c r="C14" s="50"/>
      <c r="D14" s="51"/>
    </row>
    <row r="15">
      <c r="A15" s="49" t="s">
        <v>205</v>
      </c>
      <c r="B15" s="49" t="s">
        <v>206</v>
      </c>
      <c r="C15" s="50"/>
      <c r="D15" s="51"/>
    </row>
    <row r="20">
      <c r="A20" s="53"/>
    </row>
    <row r="21">
      <c r="A21" s="53"/>
    </row>
    <row r="22">
      <c r="A22" s="53"/>
    </row>
    <row r="23">
      <c r="A23" s="53"/>
    </row>
    <row r="24">
      <c r="A24" s="53"/>
    </row>
    <row r="25">
      <c r="A25" s="53"/>
    </row>
  </sheetData>
  <autoFilter ref="A3:D15">
    <sortState ref="A4:D15">
      <sortCondition ref="A3:A15"/>
    </sortState>
  </autoFilter>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ellIs" priority="1" operator="equal" id="{006B00E8-00F8-4320-9424-00DE001200CD}">
            <xm:f>"NOK"</xm:f>
            <x14:dxf>
              <fill>
                <patternFill patternType="solid">
                  <fgColor theme="5" tint="-0.24994659260841701"/>
                  <bgColor theme="5" tint="-0.24994659260841701"/>
                </patternFill>
              </fill>
            </x14:dxf>
          </x14:cfRule>
          <xm:sqref>C4:C15</xm:sqref>
        </x14:conditionalFormatting>
        <x14:conditionalFormatting xmlns:xm="http://schemas.microsoft.com/office/excel/2006/main">
          <x14:cfRule type="cellIs" priority="2" operator="equal" id="{00FC005C-0058-4B0B-BFFB-004F00D4000B}">
            <xm:f>"OK"</xm:f>
            <x14:dxf>
              <fill>
                <patternFill patternType="solid">
                  <fgColor theme="9" tint="0.39994506668294322"/>
                  <bgColor theme="9" tint="0.39994506668294322"/>
                </patternFill>
              </fill>
              <border>
                <left style="none"/>
                <right style="none"/>
                <top style="none"/>
                <bottom style="none"/>
                <diagonal style="none"/>
                <vertical style="none"/>
                <horizontal style="none"/>
              </border>
            </x14:dxf>
          </x14:cfRule>
          <xm:sqref>C4:C15</xm:sqref>
        </x14:conditionalFormatting>
      </x14:conditionalFormattings>
    </ext>
    <ext xmlns:x14="http://schemas.microsoft.com/office/spreadsheetml/2009/9/main" uri="{CCE6A557-97BC-4b89-ADB6-D9C93CAAB3DF}">
      <x14:dataValidations xmlns:xm="http://schemas.microsoft.com/office/excel/2006/main" count="1" disablePrompts="0">
        <x14:dataValidation xr:uid="{00BF00F0-0035-4DE1-B7C5-006E00DB0033}" type="list" allowBlank="1" errorStyle="stop" imeMode="noControl" operator="between" showDropDown="0" showErrorMessage="1" showInputMessage="1">
          <x14:formula1>
            <xm:f>$C$1:$C$2</xm:f>
          </x14:formula1>
          <xm:sqref>C4:C15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17" activeCellId="0" sqref="C17"/>
    </sheetView>
  </sheetViews>
  <sheetFormatPr defaultRowHeight="14.5"/>
  <cols>
    <col customWidth="1" min="2" max="2" width="10.7265625"/>
    <col customWidth="1" min="3" max="3" width="62.1796875"/>
    <col customWidth="1" min="4" max="4" width="45.1796875"/>
  </cols>
  <sheetData>
    <row r="2" ht="15"/>
    <row r="3" ht="15">
      <c r="A3" s="54" t="s">
        <v>207</v>
      </c>
      <c r="B3" s="55" t="s">
        <v>208</v>
      </c>
      <c r="C3" s="16" t="s">
        <v>209</v>
      </c>
    </row>
    <row r="4">
      <c r="A4" s="56" t="s">
        <v>210</v>
      </c>
      <c r="B4" s="57" t="s">
        <v>2</v>
      </c>
      <c r="C4" s="47" t="s">
        <v>211</v>
      </c>
    </row>
    <row r="5">
      <c r="A5" s="58"/>
      <c r="B5" s="59"/>
      <c r="C5" s="59"/>
    </row>
    <row r="6">
      <c r="A6" s="58"/>
      <c r="B6" s="59"/>
      <c r="C6" s="59"/>
    </row>
    <row r="7">
      <c r="A7" s="58"/>
      <c r="B7" s="59"/>
      <c r="C7" s="59"/>
    </row>
    <row r="8">
      <c r="A8" s="59"/>
      <c r="B8" s="59"/>
      <c r="C8" s="59"/>
    </row>
    <row r="9">
      <c r="A9" s="59"/>
      <c r="B9" s="59"/>
      <c r="C9" s="59"/>
    </row>
    <row r="10">
      <c r="A10" s="59"/>
      <c r="B10" s="59"/>
      <c r="C10" s="59"/>
    </row>
    <row r="11">
      <c r="A11" s="51"/>
      <c r="B11" s="51"/>
      <c r="C11" s="51"/>
    </row>
    <row r="12">
      <c r="A12" s="51"/>
      <c r="B12" s="51"/>
      <c r="C12" s="51"/>
    </row>
    <row r="13">
      <c r="A13" s="51"/>
      <c r="B13" s="51"/>
      <c r="C13" s="51"/>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Company>Nordic Semiconductor ASA</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Ruotsalainen, Tarmo</dc:creator>
  <cp:revision>3</cp:revision>
  <dcterms:created xsi:type="dcterms:W3CDTF">2017-03-29T11:15:12Z</dcterms:created>
  <dcterms:modified xsi:type="dcterms:W3CDTF">2026-03-30T04:49:52Z</dcterms:modified>
</cp:coreProperties>
</file>